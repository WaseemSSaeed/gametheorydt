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_1" sheetId="3" state="visible" r:id="rId3"/>
    <sheet xmlns:r="http://schemas.openxmlformats.org/officeDocument/2006/relationships" name="Scenario_2" sheetId="4" state="visible" r:id="rId4"/>
    <sheet xmlns:r="http://schemas.openxmlformats.org/officeDocument/2006/relationships" name="Scenario_3" sheetId="5" state="visible" r:id="rId5"/>
    <sheet xmlns:r="http://schemas.openxmlformats.org/officeDocument/2006/relationships" name="Policy_Experiments" sheetId="6" state="visible" r:id="rId6"/>
    <sheet xmlns:r="http://schemas.openxmlformats.org/officeDocument/2006/relationships" name="KPI_Dashboard" sheetId="7" state="visible" r:id="rId7"/>
    <sheet xmlns:r="http://schemas.openxmlformats.org/officeDocument/2006/relationships" name="Equations" sheetId="8" state="visible" r:id="rId8"/>
    <sheet xmlns:r="http://schemas.openxmlformats.org/officeDocument/2006/relationships" name="Gantt_Data" sheetId="9" state="visible" r:id="rId9"/>
  </sheets>
  <definedNames>
    <definedName name="_xlnm._FilterDatabase" localSheetId="1" hidden="1">'Inputs'!$A$4:$F$35</definedName>
    <definedName name="_xlnm._FilterDatabase" localSheetId="2" hidden="1">'Scenario_1'!$A$4:$H$16</definedName>
    <definedName name="_xlnm._FilterDatabase" localSheetId="3" hidden="1">'Scenario_2'!$A$4:$H$16</definedName>
    <definedName name="_xlnm._FilterDatabase" localSheetId="4" hidden="1">'Scenario_3'!$A$4:$H$19</definedName>
    <definedName name="_xlnm._FilterDatabase" localSheetId="5" hidden="1">'Policy_Experiments'!$A$4:$M$10</definedName>
    <definedName name="_xlnm._FilterDatabase" localSheetId="7" hidden="1">'Equations'!$A$3:$D$16</definedName>
    <definedName name="_xlnm._FilterDatabase" localSheetId="8" hidden="1">'Gantt_Data'!$A$3:$F$42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17365D"/>
      <sz val="12"/>
    </font>
    <font>
      <b val="1"/>
      <color rgb="00C00000"/>
      <sz val="12"/>
    </font>
    <font>
      <b val="1"/>
      <color rgb="000F6B78"/>
    </font>
    <font>
      <i val="1"/>
      <color rgb="00666666"/>
    </font>
    <font>
      <b val="1"/>
      <color rgb="00FFFFFF"/>
    </font>
    <font>
      <b val="1"/>
      <color rgb="000070C0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C65911"/>
      <sz val="11"/>
    </font>
    <font>
      <name val="Calibri"/>
      <color rgb="00C65911"/>
      <sz val="11"/>
    </font>
    <font>
      <name val="Calibri"/>
      <b val="1"/>
      <color rgb="00375623"/>
      <sz val="11"/>
    </font>
    <font>
      <name val="Calibri"/>
      <color rgb="00375623"/>
      <sz val="11"/>
    </font>
    <font>
      <name val="Calibri"/>
      <b val="1"/>
      <color rgb="00522572"/>
      <sz val="11"/>
    </font>
    <font>
      <name val="Calibri"/>
      <color rgb="00522572"/>
      <sz val="11"/>
    </font>
    <font>
      <name val="Calibri"/>
      <b val="1"/>
      <color rgb="000070C0"/>
      <sz val="11"/>
    </font>
    <font>
      <name val="Calibri"/>
      <color rgb="000070C0"/>
      <sz val="11"/>
    </font>
    <font>
      <name val="Calibri"/>
      <b val="1"/>
      <color rgb="00002060"/>
      <sz val="11"/>
    </font>
    <font>
      <name val="Calibri"/>
      <color rgb="00002060"/>
      <sz val="11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3F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1D5E7"/>
        <bgColor rgb="00E1D5E7"/>
      </patternFill>
    </fill>
    <fill>
      <patternFill patternType="solid">
        <fgColor rgb="00D9F2FF"/>
        <bgColor rgb="00D9F2FF"/>
      </patternFill>
    </fill>
    <fill>
      <patternFill patternType="solid">
        <fgColor rgb="00D0D7E5"/>
        <bgColor rgb="00D0D7E5"/>
      </patternFill>
    </fill>
  </fills>
  <borders count="4">
    <border>
      <left/>
      <right/>
      <top/>
      <bottom/>
      <diagonal/>
    </border>
    <border>
      <bottom style="thin">
        <color rgb="00FFFFFF"/>
      </bottom>
    </border>
    <border>
      <bottom style="hair">
        <color rgb="00D9E1F2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164" fontId="7" fillId="4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 vertical="center" wrapText="1"/>
    </xf>
    <xf numFmtId="0" fontId="8" fillId="5" borderId="3" applyAlignment="1" pivotButton="0" quotePrefix="0" xfId="0">
      <alignment vertical="center" wrapText="1"/>
    </xf>
    <xf numFmtId="165" fontId="9" fillId="5" borderId="3" applyAlignment="1" pivotButton="0" quotePrefix="0" xfId="0">
      <alignment vertical="center" wrapText="1"/>
    </xf>
    <xf numFmtId="0" fontId="8" fillId="5" borderId="3" pivotButton="0" quotePrefix="0" xfId="0"/>
    <xf numFmtId="0" fontId="10" fillId="6" borderId="3" applyAlignment="1" pivotButton="0" quotePrefix="0" xfId="0">
      <alignment vertical="center" wrapText="1"/>
    </xf>
    <xf numFmtId="165" fontId="11" fillId="6" borderId="3" applyAlignment="1" pivotButton="0" quotePrefix="0" xfId="0">
      <alignment vertical="center" wrapText="1"/>
    </xf>
    <xf numFmtId="0" fontId="10" fillId="6" borderId="3" pivotButton="0" quotePrefix="0" xfId="0"/>
    <xf numFmtId="0" fontId="12" fillId="7" borderId="3" applyAlignment="1" pivotButton="0" quotePrefix="0" xfId="0">
      <alignment vertical="center" wrapText="1"/>
    </xf>
    <xf numFmtId="165" fontId="13" fillId="7" borderId="3" applyAlignment="1" pivotButton="0" quotePrefix="0" xfId="0">
      <alignment vertical="center" wrapText="1"/>
    </xf>
    <xf numFmtId="0" fontId="12" fillId="7" borderId="3" pivotButton="0" quotePrefix="0" xfId="0"/>
    <xf numFmtId="0" fontId="14" fillId="8" borderId="3" applyAlignment="1" pivotButton="0" quotePrefix="0" xfId="0">
      <alignment vertical="center" wrapText="1"/>
    </xf>
    <xf numFmtId="165" fontId="15" fillId="8" borderId="3" applyAlignment="1" pivotButton="0" quotePrefix="0" xfId="0">
      <alignment vertical="center" wrapText="1"/>
    </xf>
    <xf numFmtId="0" fontId="14" fillId="8" borderId="3" pivotButton="0" quotePrefix="0" xfId="0"/>
    <xf numFmtId="0" fontId="16" fillId="9" borderId="3" applyAlignment="1" pivotButton="0" quotePrefix="0" xfId="0">
      <alignment vertical="center" wrapText="1"/>
    </xf>
    <xf numFmtId="165" fontId="17" fillId="9" borderId="3" applyAlignment="1" pivotButton="0" quotePrefix="0" xfId="0">
      <alignment vertical="center" wrapText="1"/>
    </xf>
    <xf numFmtId="0" fontId="16" fillId="9" borderId="3" pivotButton="0" quotePrefix="0" xfId="0"/>
    <xf numFmtId="0" fontId="18" fillId="10" borderId="3" applyAlignment="1" pivotButton="0" quotePrefix="0" xfId="0">
      <alignment vertical="center" wrapText="1"/>
    </xf>
    <xf numFmtId="165" fontId="19" fillId="10" borderId="3" applyAlignment="1" pivotButton="0" quotePrefix="0" xfId="0">
      <alignment vertical="center" wrapText="1"/>
    </xf>
    <xf numFmtId="0" fontId="18" fillId="1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1 – Gantt: overlapping flow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'Scenario_1'!D4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'Scenario_1'!$I$5:$I$16</f>
            </numRef>
          </cat>
          <val>
            <numRef>
              <f>'Scenario_1'!$D$5:$D$16</f>
            </numRef>
          </val>
        </ser>
        <ser>
          <idx val="1"/>
          <order val="1"/>
          <tx>
            <strRef>
              <f>'Scenario_1'!H4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cat>
            <numRef>
              <f>'Scenario_1'!$I$5:$I$16</f>
            </numRef>
          </cat>
          <val>
            <numRef>
              <f>'Scenario_1'!$H$5:$H$16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2 – Gantt: parallel assembly resources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'Scenario_2'!D4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'Scenario_2'!$I$5:$I$16</f>
            </numRef>
          </cat>
          <val>
            <numRef>
              <f>'Scenario_2'!$D$5:$D$16</f>
            </numRef>
          </val>
        </ser>
        <ser>
          <idx val="1"/>
          <order val="1"/>
          <tx>
            <strRef>
              <f>'Scenario_2'!H4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solidFill>
                  <a:srgbClr val="2F5597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cat>
            <numRef>
              <f>'Scenario_2'!$I$5:$I$16</f>
            </numRef>
          </cat>
          <val>
            <numRef>
              <f>'Scenario_2'!$H$5:$H$16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3 – Gantt: branches and merge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'Scenario_3'!D4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'Scenario_3'!$I$5:$I$19</f>
            </numRef>
          </cat>
          <val>
            <numRef>
              <f>'Scenario_3'!$D$5:$D$19</f>
            </numRef>
          </val>
        </ser>
        <ser>
          <idx val="1"/>
          <order val="1"/>
          <tx>
            <strRef>
              <f>'Scenario_3'!H4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00B0F0"/>
              </a:solidFill>
              <a:ln xmlns:a="http://schemas.openxmlformats.org/drawingml/2006/main">
                <a:solidFill>
                  <a:srgbClr val="00B0F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2060"/>
              </a:solidFill>
              <a:ln xmlns:a="http://schemas.openxmlformats.org/drawingml/2006/main">
                <a:solidFill>
                  <a:srgbClr val="00206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B0F0"/>
              </a:solidFill>
              <a:ln xmlns:a="http://schemas.openxmlformats.org/drawingml/2006/main">
                <a:solidFill>
                  <a:srgbClr val="00B0F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02060"/>
              </a:solidFill>
              <a:ln xmlns:a="http://schemas.openxmlformats.org/drawingml/2006/main">
                <a:solidFill>
                  <a:srgbClr val="002060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00B0F0"/>
              </a:solidFill>
              <a:ln xmlns:a="http://schemas.openxmlformats.org/drawingml/2006/main">
                <a:solidFill>
                  <a:srgbClr val="00B0F0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2060"/>
              </a:solidFill>
              <a:ln xmlns:a="http://schemas.openxmlformats.org/drawingml/2006/main">
                <a:solidFill>
                  <a:srgbClr val="002060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cat>
            <numRef>
              <f>'Scenario_3'!$I$5:$I$19</f>
            </numRef>
          </cat>
          <val>
            <numRef>
              <f>'Scenario_3'!$H$5:$H$19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batch completion by experiment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'Policy_Experiments'!I4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'Policy_Experiments'!$A$5:$A$10</f>
            </numRef>
          </cat>
          <val>
            <numRef>
              <f>'Policy_Experiments'!$I$5:$I$10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Relative total cost by experiment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'Policy_Experiments'!L4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'Policy_Experiments'!$A$5:$A$10</f>
            </numRef>
          </cat>
          <val>
            <numRef>
              <f>'Policy_Experiments'!$L$5:$L$10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Batch completion time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'KPI_Dashboard'!$A$5:$A$7</f>
            </numRef>
          </cat>
          <val>
            <numRef>
              <f>'KPI_Dashboard'!$B$5:$B$7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'KPI_Dashboard'!$A$5:$A$7</f>
            </numRef>
          </cat>
          <val>
            <numRef>
              <f>'KPI_Dashboard'!$C$5:$C$7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Units/hour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defect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'KPI_Dashboard'!$A$5:$A$7</f>
            </numRef>
          </cat>
          <val>
            <numRef>
              <f>'KPI_Dashboard'!$G$5:$G$7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maintenance downtime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'KPI_Dashboard'!$A$5:$A$7</f>
            </numRef>
          </cat>
          <val>
            <numRef>
              <f>'KPI_Dashboard'!$F$5:$F$7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24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PRODUCTION SYSTEM PLAYBOOK | Editable Excel Workbook</t>
        </is>
      </c>
    </row>
    <row r="3">
      <c r="A3" s="2" t="inlineStr">
        <is>
          <t>Purpose</t>
        </is>
      </c>
    </row>
    <row r="4" ht="32" customHeight="1">
      <c r="A4" s="3" t="inlineStr">
        <is>
          <t>A working template for comparing three production-flow designs and testing how quality and maintenance policies affect throughput, lead time, downtime, defects, and total system performance.</t>
        </is>
      </c>
    </row>
    <row r="5"/>
    <row r="7">
      <c r="A7" s="4" t="inlineStr">
        <is>
          <t>Important modelling note</t>
        </is>
      </c>
    </row>
    <row r="8" ht="36" customHeight="1">
      <c r="A8" s="3" t="inlineStr">
        <is>
          <t>All initial values are illustrative, not factory data. Replace blue-font input cells with measured values. The workbook uses an event-time flow-shop approximation for Scenario 1, a two-resource parallel-stage approximation for Scenario 2, and parallel branches merging before final assembly for Scenario 3. Scenario 2/3 routing is an explicit simplified assumption and must be adapted to the real process.</t>
        </is>
      </c>
    </row>
    <row r="9" ht="30" customHeight="1"/>
    <row r="10" ht="25" customHeight="1"/>
    <row r="12">
      <c r="A12" s="2" t="inlineStr">
        <is>
          <t>Workbook map</t>
        </is>
      </c>
    </row>
    <row r="13" ht="28" customHeight="1">
      <c r="A13" s="5" t="inlineStr">
        <is>
          <t>Inputs</t>
        </is>
      </c>
      <c r="B13" s="6" t="inlineStr">
        <is>
          <t>Editable process times, demand, due date, policy parameters, and uncertainty assumptions.</t>
        </is>
      </c>
    </row>
    <row r="14" ht="28" customHeight="1">
      <c r="A14" s="5" t="inlineStr">
        <is>
          <t>Scenario_1</t>
        </is>
      </c>
      <c r="B14" s="6" t="inlineStr">
        <is>
          <t>Sequential route with overlapping flow between units; calculated schedule and Gantt chart.</t>
        </is>
      </c>
    </row>
    <row r="15" ht="28" customHeight="1">
      <c r="A15" s="5" t="inlineStr">
        <is>
          <t>Scenario_2</t>
        </is>
      </c>
      <c r="B15" s="6" t="inlineStr">
        <is>
          <t>Parallel resources at the assembly bottleneck; routing allocation and schedule chart.</t>
        </is>
      </c>
    </row>
    <row r="16" ht="28" customHeight="1">
      <c r="A16" s="5" t="inlineStr">
        <is>
          <t>Scenario_3</t>
        </is>
      </c>
      <c r="B16" s="6" t="inlineStr">
        <is>
          <t>Two parallel branches that merge at final assembly; branch and assembly Gantt chart.</t>
        </is>
      </c>
    </row>
    <row r="17" ht="28" customHeight="1">
      <c r="A17" s="5" t="inlineStr">
        <is>
          <t>Policy_Experiments</t>
        </is>
      </c>
      <c r="B17" s="6" t="inlineStr">
        <is>
          <t>Compare combinations of quality and maintenance strategies across scenarios.</t>
        </is>
      </c>
    </row>
    <row r="18" ht="28" customHeight="1">
      <c r="A18" s="5" t="inlineStr">
        <is>
          <t>KPI_Dashboard</t>
        </is>
      </c>
      <c r="B18" s="6" t="inlineStr">
        <is>
          <t>Scenario KPI summary with charts for cycle time, throughput, downtime, defects, and cost.</t>
        </is>
      </c>
    </row>
    <row r="19" ht="28" customHeight="1">
      <c r="A19" s="5" t="inlineStr">
        <is>
          <t>Equations</t>
        </is>
      </c>
      <c r="B19" s="6" t="inlineStr">
        <is>
          <t>Definitions, scheduling equations, modelling assumptions, and limits.</t>
        </is>
      </c>
    </row>
    <row r="22">
      <c r="A22" s="2" t="inlineStr">
        <is>
          <t>Recommended workflow</t>
        </is>
      </c>
    </row>
    <row r="23">
      <c r="A23" s="7" t="inlineStr">
        <is>
          <t>1. Replace the illustrative station times and policy assumptions in Inputs.</t>
        </is>
      </c>
    </row>
    <row r="24">
      <c r="A24" s="7" t="inlineStr">
        <is>
          <t>2. Adapt the route and operation names to the actual product and production line.</t>
        </is>
      </c>
    </row>
    <row r="25">
      <c r="A25" s="7" t="inlineStr">
        <is>
          <t>3. Inspect each scenario's schedule and Gantt chart; verify the precedence and resource constraints.</t>
        </is>
      </c>
    </row>
    <row r="26">
      <c r="A26" s="7" t="inlineStr">
        <is>
          <t>4. Adjust the quality/maintenance policy parameters in Policy_Experiments.</t>
        </is>
      </c>
    </row>
    <row r="27">
      <c r="A27" s="7" t="inlineStr">
        <is>
          <t>5. Review KPI_Dashboard and document assumptions, calibration evidence, and validation results.</t>
        </is>
      </c>
    </row>
  </sheetData>
  <mergeCells count="15">
    <mergeCell ref="A8:H10"/>
    <mergeCell ref="B14:H14"/>
    <mergeCell ref="A26:H26"/>
    <mergeCell ref="A4:H5"/>
    <mergeCell ref="B17:H17"/>
    <mergeCell ref="B18:H18"/>
    <mergeCell ref="B13:H13"/>
    <mergeCell ref="A25:H25"/>
    <mergeCell ref="A27:H27"/>
    <mergeCell ref="A24:H24"/>
    <mergeCell ref="B16:H16"/>
    <mergeCell ref="B15:H15"/>
    <mergeCell ref="A1:H1"/>
    <mergeCell ref="A23:H23"/>
    <mergeCell ref="B19:H19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A1:F3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18" customWidth="1" min="4" max="4"/>
    <col width="58" customWidth="1" min="5" max="5"/>
    <col width="20" customWidth="1" min="6" max="6"/>
  </cols>
  <sheetData>
    <row r="1" ht="28" customHeight="1">
      <c r="A1" s="1" t="inlineStr">
        <is>
          <t>INPUTS | Editable Assumptions</t>
        </is>
      </c>
    </row>
    <row r="3">
      <c r="A3" s="8" t="inlineStr">
        <is>
          <t>Blue font = editable input. Values below are illustrative only.</t>
        </is>
      </c>
    </row>
    <row r="4">
      <c r="A4" s="9" t="inlineStr">
        <is>
          <t>Parameter</t>
        </is>
      </c>
      <c r="B4" s="9" t="inlineStr">
        <is>
          <t>Symbol</t>
        </is>
      </c>
      <c r="C4" s="9" t="inlineStr">
        <is>
          <t>Value</t>
        </is>
      </c>
      <c r="D4" s="9" t="inlineStr">
        <is>
          <t>Unit</t>
        </is>
      </c>
      <c r="E4" s="9" t="inlineStr">
        <is>
          <t>Purpose / note</t>
        </is>
      </c>
      <c r="F4" s="9" t="inlineStr">
        <is>
          <t>Input type</t>
        </is>
      </c>
    </row>
    <row r="5">
      <c r="A5" s="10" t="inlineStr">
        <is>
          <t>M1 – Initial preparation</t>
        </is>
      </c>
      <c r="B5" s="10" t="inlineStr">
        <is>
          <t>p_M1</t>
        </is>
      </c>
      <c r="C5" s="11" t="n">
        <v>6</v>
      </c>
      <c r="D5" s="10" t="inlineStr">
        <is>
          <t>min/unit</t>
        </is>
      </c>
      <c r="E5" s="10" t="inlineStr">
        <is>
          <t>Scenario 1 base processing time</t>
        </is>
      </c>
      <c r="F5" s="10" t="inlineStr">
        <is>
          <t>Measured / assumed</t>
        </is>
      </c>
    </row>
    <row r="6">
      <c r="A6" s="10" t="inlineStr">
        <is>
          <t>M2 – Assembly</t>
        </is>
      </c>
      <c r="B6" s="10" t="inlineStr">
        <is>
          <t>p_M2</t>
        </is>
      </c>
      <c r="C6" s="11" t="n">
        <v>8</v>
      </c>
      <c r="D6" s="10" t="inlineStr">
        <is>
          <t>min/unit</t>
        </is>
      </c>
      <c r="E6" s="10" t="inlineStr">
        <is>
          <t>Scenario 1 base processing time; illustrative bottleneck</t>
        </is>
      </c>
      <c r="F6" s="10" t="inlineStr">
        <is>
          <t>Measured / assumed</t>
        </is>
      </c>
    </row>
    <row r="7">
      <c r="A7" s="10" t="inlineStr">
        <is>
          <t>M3 – Inspection/test</t>
        </is>
      </c>
      <c r="B7" s="10" t="inlineStr">
        <is>
          <t>p_M3</t>
        </is>
      </c>
      <c r="C7" s="11" t="n">
        <v>4</v>
      </c>
      <c r="D7" s="10" t="inlineStr">
        <is>
          <t>min/unit</t>
        </is>
      </c>
      <c r="E7" s="10" t="inlineStr">
        <is>
          <t>Base processing time; policy adds inspection time</t>
        </is>
      </c>
      <c r="F7" s="10" t="inlineStr">
        <is>
          <t>Measured / assumed</t>
        </is>
      </c>
    </row>
    <row r="8">
      <c r="A8" s="10" t="inlineStr">
        <is>
          <t>M4 – Finishing/packing</t>
        </is>
      </c>
      <c r="B8" s="10" t="inlineStr">
        <is>
          <t>p_M4</t>
        </is>
      </c>
      <c r="C8" s="11" t="n">
        <v>3</v>
      </c>
      <c r="D8" s="10" t="inlineStr">
        <is>
          <t>min/unit</t>
        </is>
      </c>
      <c r="E8" s="10" t="inlineStr">
        <is>
          <t>Base processing time</t>
        </is>
      </c>
      <c r="F8" s="10" t="inlineStr">
        <is>
          <t>Measured / assumed</t>
        </is>
      </c>
    </row>
    <row r="9">
      <c r="A9" s="10" t="inlineStr">
        <is>
          <t>Batch size</t>
        </is>
      </c>
      <c r="B9" s="10" t="inlineStr">
        <is>
          <t>N</t>
        </is>
      </c>
      <c r="C9" s="11" t="n">
        <v>3</v>
      </c>
      <c r="D9" s="10" t="inlineStr">
        <is>
          <t>units</t>
        </is>
      </c>
      <c r="E9" s="10" t="inlineStr">
        <is>
          <t>Number of units in the demo batch</t>
        </is>
      </c>
      <c r="F9" s="10" t="inlineStr">
        <is>
          <t>User input</t>
        </is>
      </c>
    </row>
    <row r="10">
      <c r="A10" s="10" t="inlineStr">
        <is>
          <t>Target good units</t>
        </is>
      </c>
      <c r="B10" s="10" t="inlineStr">
        <is>
          <t>D_good</t>
        </is>
      </c>
      <c r="C10" s="11" t="n">
        <v>3</v>
      </c>
      <c r="D10" s="10" t="inlineStr">
        <is>
          <t>units</t>
        </is>
      </c>
      <c r="E10" s="10" t="inlineStr">
        <is>
          <t>Demand target for KPI calculations</t>
        </is>
      </c>
      <c r="F10" s="10" t="inlineStr">
        <is>
          <t>User input</t>
        </is>
      </c>
    </row>
    <row r="11">
      <c r="A11" s="10" t="inlineStr">
        <is>
          <t>Due time for batch</t>
        </is>
      </c>
      <c r="B11" s="10" t="inlineStr">
        <is>
          <t>Due</t>
        </is>
      </c>
      <c r="C11" s="11" t="n">
        <v>33</v>
      </c>
      <c r="D11" s="10" t="inlineStr">
        <is>
          <t>min</t>
        </is>
      </c>
      <c r="E11" s="10" t="inlineStr">
        <is>
          <t>Illustrative batch due time measured from time zero</t>
        </is>
      </c>
      <c r="F11" s="10" t="inlineStr">
        <is>
          <t>User input</t>
        </is>
      </c>
    </row>
    <row r="12">
      <c r="A12" s="10" t="inlineStr">
        <is>
          <t>Scenario 2 parallel resource M2-A</t>
        </is>
      </c>
      <c r="B12" s="10" t="inlineStr">
        <is>
          <t>p_M2A</t>
        </is>
      </c>
      <c r="C12" s="11" t="n">
        <v>8</v>
      </c>
      <c r="D12" s="10" t="inlineStr">
        <is>
          <t>min/unit</t>
        </is>
      </c>
      <c r="E12" s="10" t="inlineStr">
        <is>
          <t>Parallel-stage processing time</t>
        </is>
      </c>
      <c r="F12" s="10" t="inlineStr">
        <is>
          <t>Measured / assumed</t>
        </is>
      </c>
    </row>
    <row r="13">
      <c r="A13" s="10" t="inlineStr">
        <is>
          <t>Scenario 2 parallel resource M2-B</t>
        </is>
      </c>
      <c r="B13" s="10" t="inlineStr">
        <is>
          <t>p_M2B</t>
        </is>
      </c>
      <c r="C13" s="11" t="n">
        <v>8</v>
      </c>
      <c r="D13" s="10" t="inlineStr">
        <is>
          <t>min/unit</t>
        </is>
      </c>
      <c r="E13" s="10" t="inlineStr">
        <is>
          <t>Parallel-stage processing time</t>
        </is>
      </c>
      <c r="F13" s="10" t="inlineStr">
        <is>
          <t>Measured / assumed</t>
        </is>
      </c>
    </row>
    <row r="14">
      <c r="A14" s="10" t="inlineStr">
        <is>
          <t>Scenario 3 branch A</t>
        </is>
      </c>
      <c r="B14" s="10" t="inlineStr">
        <is>
          <t>p_A</t>
        </is>
      </c>
      <c r="C14" s="11" t="n">
        <v>6</v>
      </c>
      <c r="D14" s="10" t="inlineStr">
        <is>
          <t>min/unit</t>
        </is>
      </c>
      <c r="E14" s="10" t="inlineStr">
        <is>
          <t>Branch A processing time</t>
        </is>
      </c>
      <c r="F14" s="10" t="inlineStr">
        <is>
          <t>Measured / assumed</t>
        </is>
      </c>
    </row>
    <row r="15">
      <c r="A15" s="10" t="inlineStr">
        <is>
          <t>Scenario 3 branch B</t>
        </is>
      </c>
      <c r="B15" s="10" t="inlineStr">
        <is>
          <t>p_B</t>
        </is>
      </c>
      <c r="C15" s="11" t="n">
        <v>8</v>
      </c>
      <c r="D15" s="10" t="inlineStr">
        <is>
          <t>min/unit</t>
        </is>
      </c>
      <c r="E15" s="10" t="inlineStr">
        <is>
          <t>Branch B processing time</t>
        </is>
      </c>
      <c r="F15" s="10" t="inlineStr">
        <is>
          <t>Measured / assumed</t>
        </is>
      </c>
    </row>
    <row r="16">
      <c r="A16" s="10" t="inlineStr">
        <is>
          <t>Scenario 3 final assembly</t>
        </is>
      </c>
      <c r="B16" s="10" t="inlineStr">
        <is>
          <t>p_FA</t>
        </is>
      </c>
      <c r="C16" s="11" t="n">
        <v>5</v>
      </c>
      <c r="D16" s="10" t="inlineStr">
        <is>
          <t>min/unit</t>
        </is>
      </c>
      <c r="E16" s="10" t="inlineStr">
        <is>
          <t>Merge/assembly processing time</t>
        </is>
      </c>
      <c r="F16" s="10" t="inlineStr">
        <is>
          <t>Measured / assumed</t>
        </is>
      </c>
    </row>
    <row r="17">
      <c r="A17" s="10" t="inlineStr">
        <is>
          <t>Scenario 3 final inspection</t>
        </is>
      </c>
      <c r="B17" s="10" t="inlineStr">
        <is>
          <t>p_FI</t>
        </is>
      </c>
      <c r="C17" s="11" t="n">
        <v>4</v>
      </c>
      <c r="D17" s="10" t="inlineStr">
        <is>
          <t>min/unit</t>
        </is>
      </c>
      <c r="E17" s="10" t="inlineStr">
        <is>
          <t>Final test processing time</t>
        </is>
      </c>
      <c r="F17" s="10" t="inlineStr">
        <is>
          <t>Measured / assumed</t>
        </is>
      </c>
    </row>
    <row r="18">
      <c r="A18" s="10" t="inlineStr">
        <is>
          <t>Scenario 3 packing</t>
        </is>
      </c>
      <c r="B18" s="10" t="inlineStr">
        <is>
          <t>p_FP</t>
        </is>
      </c>
      <c r="C18" s="11" t="n">
        <v>3</v>
      </c>
      <c r="D18" s="10" t="inlineStr">
        <is>
          <t>min/unit</t>
        </is>
      </c>
      <c r="E18" s="10" t="inlineStr">
        <is>
          <t>Packing processing time</t>
        </is>
      </c>
      <c r="F18" s="10" t="inlineStr">
        <is>
          <t>Measured / assumed</t>
        </is>
      </c>
    </row>
    <row r="19">
      <c r="A19" s="10" t="inlineStr">
        <is>
          <t>Quality: standard inspection time</t>
        </is>
      </c>
      <c r="B19" s="10" t="inlineStr">
        <is>
          <t>q_std</t>
        </is>
      </c>
      <c r="C19" s="11" t="n">
        <v>0</v>
      </c>
      <c r="D19" s="10" t="inlineStr">
        <is>
          <t>min/unit</t>
        </is>
      </c>
      <c r="E19" s="10" t="inlineStr">
        <is>
          <t>Extra time per unit under standard inspection</t>
        </is>
      </c>
      <c r="F19" s="10" t="inlineStr">
        <is>
          <t>Policy parameter</t>
        </is>
      </c>
    </row>
    <row r="20">
      <c r="A20" s="10" t="inlineStr">
        <is>
          <t>Quality: risk-based extra inspection</t>
        </is>
      </c>
      <c r="B20" s="10" t="inlineStr">
        <is>
          <t>q_risk</t>
        </is>
      </c>
      <c r="C20" s="11" t="n">
        <v>1</v>
      </c>
      <c r="D20" s="10" t="inlineStr">
        <is>
          <t>min/unit</t>
        </is>
      </c>
      <c r="E20" s="10" t="inlineStr">
        <is>
          <t>Extra time for risk-based inspection</t>
        </is>
      </c>
      <c r="F20" s="10" t="inlineStr">
        <is>
          <t>Policy parameter</t>
        </is>
      </c>
    </row>
    <row r="21">
      <c r="A21" s="10" t="inlineStr">
        <is>
          <t>Quality: source inspection extra time</t>
        </is>
      </c>
      <c r="B21" s="10" t="inlineStr">
        <is>
          <t>q_source</t>
        </is>
      </c>
      <c r="C21" s="11" t="n">
        <v>0.5</v>
      </c>
      <c r="D21" s="10" t="inlineStr">
        <is>
          <t>min/unit</t>
        </is>
      </c>
      <c r="E21" s="10" t="inlineStr">
        <is>
          <t>Extra time for in-branch/source checks</t>
        </is>
      </c>
      <c r="F21" s="10" t="inlineStr">
        <is>
          <t>Policy parameter</t>
        </is>
      </c>
    </row>
    <row r="22">
      <c r="A22" s="10" t="inlineStr">
        <is>
          <t>Quality: standard defect probability</t>
        </is>
      </c>
      <c r="B22" s="10" t="inlineStr">
        <is>
          <t>d_std</t>
        </is>
      </c>
      <c r="C22" s="12" t="n">
        <v>0.08</v>
      </c>
      <c r="D22" s="10" t="inlineStr">
        <is>
          <t>%</t>
        </is>
      </c>
      <c r="E22" s="10" t="inlineStr">
        <is>
          <t>Expected defect probability, entered as decimal</t>
        </is>
      </c>
      <c r="F22" s="10" t="inlineStr">
        <is>
          <t>Policy parameter</t>
        </is>
      </c>
    </row>
    <row r="23">
      <c r="A23" s="10" t="inlineStr">
        <is>
          <t>Quality: risk-based defect probability</t>
        </is>
      </c>
      <c r="B23" s="10" t="inlineStr">
        <is>
          <t>d_risk</t>
        </is>
      </c>
      <c r="C23" s="12" t="n">
        <v>0.04</v>
      </c>
      <c r="D23" s="10" t="inlineStr">
        <is>
          <t>%</t>
        </is>
      </c>
      <c r="E23" s="10" t="inlineStr">
        <is>
          <t>Illustrative lower defect probability</t>
        </is>
      </c>
      <c r="F23" s="10" t="inlineStr">
        <is>
          <t>Policy parameter</t>
        </is>
      </c>
    </row>
    <row r="24">
      <c r="A24" s="10" t="inlineStr">
        <is>
          <t>Quality: source-check defect probability</t>
        </is>
      </c>
      <c r="B24" s="10" t="inlineStr">
        <is>
          <t>d_source</t>
        </is>
      </c>
      <c r="C24" s="12" t="n">
        <v>0.03</v>
      </c>
      <c r="D24" s="10" t="inlineStr">
        <is>
          <t>%</t>
        </is>
      </c>
      <c r="E24" s="10" t="inlineStr">
        <is>
          <t>Illustrative lower defect probability</t>
        </is>
      </c>
      <c r="F24" s="10" t="inlineStr">
        <is>
          <t>Policy parameter</t>
        </is>
      </c>
    </row>
    <row r="25">
      <c r="A25" s="10" t="inlineStr">
        <is>
          <t>Quality: rework time per defective unit</t>
        </is>
      </c>
      <c r="B25" s="10" t="inlineStr">
        <is>
          <t>t_rework</t>
        </is>
      </c>
      <c r="C25" s="11" t="n">
        <v>6</v>
      </c>
      <c r="D25" s="10" t="inlineStr">
        <is>
          <t>min/unit</t>
        </is>
      </c>
      <c r="E25" s="10" t="inlineStr">
        <is>
          <t>Expected rework time when defect occurs</t>
        </is>
      </c>
      <c r="F25" s="10" t="inlineStr">
        <is>
          <t>Measured / assumed</t>
        </is>
      </c>
    </row>
    <row r="26">
      <c r="A26" s="10" t="inlineStr">
        <is>
          <t>Maintenance: scheduled downtime per batch</t>
        </is>
      </c>
      <c r="B26" s="10" t="inlineStr">
        <is>
          <t>m_preventive</t>
        </is>
      </c>
      <c r="C26" s="11" t="n">
        <v>2</v>
      </c>
      <c r="D26" s="10" t="inlineStr">
        <is>
          <t>min/batch</t>
        </is>
      </c>
      <c r="E26" s="10" t="inlineStr">
        <is>
          <t>Illustrative planned maintenance burden</t>
        </is>
      </c>
      <c r="F26" s="10" t="inlineStr">
        <is>
          <t>Policy parameter</t>
        </is>
      </c>
    </row>
    <row r="27">
      <c r="A27" s="10" t="inlineStr">
        <is>
          <t>Maintenance: reactive expected downtime per batch</t>
        </is>
      </c>
      <c r="B27" s="10" t="inlineStr">
        <is>
          <t>m_reactive</t>
        </is>
      </c>
      <c r="C27" s="11" t="n">
        <v>7</v>
      </c>
      <c r="D27" s="10" t="inlineStr">
        <is>
          <t>min/batch</t>
        </is>
      </c>
      <c r="E27" s="10" t="inlineStr">
        <is>
          <t>Illustrative reactive maintenance burden</t>
        </is>
      </c>
      <c r="F27" s="10" t="inlineStr">
        <is>
          <t>Policy parameter</t>
        </is>
      </c>
    </row>
    <row r="28">
      <c r="A28" s="10" t="inlineStr">
        <is>
          <t>Maintenance: risk-based expected downtime per batch</t>
        </is>
      </c>
      <c r="B28" s="10" t="inlineStr">
        <is>
          <t>m_risk</t>
        </is>
      </c>
      <c r="C28" s="11" t="n">
        <v>3</v>
      </c>
      <c r="D28" s="10" t="inlineStr">
        <is>
          <t>min/batch</t>
        </is>
      </c>
      <c r="E28" s="10" t="inlineStr">
        <is>
          <t>Illustrative risk-based maintenance burden</t>
        </is>
      </c>
      <c r="F28" s="10" t="inlineStr">
        <is>
          <t>Policy parameter</t>
        </is>
      </c>
    </row>
    <row r="29">
      <c r="A29" s="10" t="inlineStr">
        <is>
          <t>Maintenance: preventive cost per batch</t>
        </is>
      </c>
      <c r="B29" s="10" t="inlineStr">
        <is>
          <t>c_preventive</t>
        </is>
      </c>
      <c r="C29" s="11" t="n">
        <v>30</v>
      </c>
      <c r="D29" s="10" t="inlineStr">
        <is>
          <t>cost units</t>
        </is>
      </c>
      <c r="E29" s="10" t="inlineStr">
        <is>
          <t>Relative cost index; replace with currency</t>
        </is>
      </c>
      <c r="F29" s="10" t="inlineStr">
        <is>
          <t>Policy parameter</t>
        </is>
      </c>
    </row>
    <row r="30">
      <c r="A30" s="10" t="inlineStr">
        <is>
          <t>Maintenance: reactive cost per batch</t>
        </is>
      </c>
      <c r="B30" s="10" t="inlineStr">
        <is>
          <t>c_reactive</t>
        </is>
      </c>
      <c r="C30" s="11" t="n">
        <v>20</v>
      </c>
      <c r="D30" s="10" t="inlineStr">
        <is>
          <t>cost units</t>
        </is>
      </c>
      <c r="E30" s="10" t="inlineStr">
        <is>
          <t>Relative cost index; replace with currency</t>
        </is>
      </c>
      <c r="F30" s="10" t="inlineStr">
        <is>
          <t>Policy parameter</t>
        </is>
      </c>
    </row>
    <row r="31">
      <c r="A31" s="10" t="inlineStr">
        <is>
          <t>Maintenance: risk-based cost per batch</t>
        </is>
      </c>
      <c r="B31" s="10" t="inlineStr">
        <is>
          <t>c_risk</t>
        </is>
      </c>
      <c r="C31" s="11" t="n">
        <v>35</v>
      </c>
      <c r="D31" s="10" t="inlineStr">
        <is>
          <t>cost units</t>
        </is>
      </c>
      <c r="E31" s="10" t="inlineStr">
        <is>
          <t>Relative cost index; replace with currency</t>
        </is>
      </c>
      <c r="F31" s="10" t="inlineStr">
        <is>
          <t>Policy parameter</t>
        </is>
      </c>
    </row>
    <row r="32">
      <c r="A32" s="10" t="inlineStr">
        <is>
          <t>Quality cost per inspection minute</t>
        </is>
      </c>
      <c r="B32" s="10" t="inlineStr">
        <is>
          <t>c_q_min</t>
        </is>
      </c>
      <c r="C32" s="11" t="n">
        <v>1</v>
      </c>
      <c r="D32" s="10" t="inlineStr">
        <is>
          <t>cost units/min</t>
        </is>
      </c>
      <c r="E32" s="10" t="inlineStr">
        <is>
          <t>Relative cost index; replace with currency</t>
        </is>
      </c>
      <c r="F32" s="10" t="inlineStr">
        <is>
          <t>Policy parameter</t>
        </is>
      </c>
    </row>
    <row r="33">
      <c r="A33" s="10" t="inlineStr">
        <is>
          <t>Rework cost per defective unit</t>
        </is>
      </c>
      <c r="B33" s="10" t="inlineStr">
        <is>
          <t>c_rework</t>
        </is>
      </c>
      <c r="C33" s="11" t="n">
        <v>12</v>
      </c>
      <c r="D33" s="10" t="inlineStr">
        <is>
          <t>cost units/unit</t>
        </is>
      </c>
      <c r="E33" s="10" t="inlineStr">
        <is>
          <t>Relative cost index; replace with currency</t>
        </is>
      </c>
      <c r="F33" s="10" t="inlineStr">
        <is>
          <t>Policy parameter</t>
        </is>
      </c>
    </row>
    <row r="34">
      <c r="A34" s="10" t="inlineStr">
        <is>
          <t>Delay penalty per minute</t>
        </is>
      </c>
      <c r="B34" s="10" t="inlineStr">
        <is>
          <t>c_delay</t>
        </is>
      </c>
      <c r="C34" s="11" t="n">
        <v>2</v>
      </c>
      <c r="D34" s="10" t="inlineStr">
        <is>
          <t>cost units/min</t>
        </is>
      </c>
      <c r="E34" s="10" t="inlineStr">
        <is>
          <t>Relative cost index; replace with currency</t>
        </is>
      </c>
      <c r="F34" s="10" t="inlineStr">
        <is>
          <t>Policy parameter</t>
        </is>
      </c>
    </row>
    <row r="35">
      <c r="A35" s="10" t="inlineStr">
        <is>
          <t>Production value per good unit</t>
        </is>
      </c>
      <c r="B35" s="10" t="inlineStr">
        <is>
          <t>v_good</t>
        </is>
      </c>
      <c r="C35" s="11" t="n">
        <v>50</v>
      </c>
      <c r="D35" s="10" t="inlineStr">
        <is>
          <t>cost units/unit</t>
        </is>
      </c>
      <c r="E35" s="10" t="inlineStr">
        <is>
          <t>Used only in illustrative contribution KPI</t>
        </is>
      </c>
      <c r="F35" s="10" t="inlineStr">
        <is>
          <t>Policy parameter</t>
        </is>
      </c>
    </row>
  </sheetData>
  <autoFilter ref="A4:F35"/>
  <mergeCells count="2">
    <mergeCell ref="A3:F3"/>
    <mergeCell ref="A1:F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4" customWidth="1" min="5" max="5"/>
    <col width="20" customWidth="1" min="6" max="6"/>
    <col width="27" customWidth="1" min="7" max="7"/>
    <col width="22" customWidth="1" min="8" max="8"/>
    <col width="32" customWidth="1" min="9" max="9"/>
    <col width="18" customWidth="1" min="10" max="10"/>
    <col width="18" customWidth="1" min="11" max="11"/>
  </cols>
  <sheetData>
    <row r="1" ht="28" customHeight="1">
      <c r="A1" s="1" t="inlineStr">
        <is>
          <t>SCENARIO 1 | Flow shop with overlapping units</t>
        </is>
      </c>
    </row>
    <row r="3">
      <c r="A3" s="8" t="inlineStr">
        <is>
          <t>Editable schedule structure; times are formulas linked to Inputs. Change assumptions in Inputs, not formula cells.</t>
        </is>
      </c>
    </row>
    <row r="4">
      <c r="A4" s="9" t="inlineStr">
        <is>
          <t>Unit</t>
        </is>
      </c>
      <c r="B4" s="9" t="inlineStr">
        <is>
          <t>Operation / resource</t>
        </is>
      </c>
      <c r="C4" s="9" t="inlineStr">
        <is>
          <t>Base duration (min)</t>
        </is>
      </c>
      <c r="D4" s="9" t="inlineStr">
        <is>
          <t>Start (min)</t>
        </is>
      </c>
      <c r="E4" s="9" t="inlineStr">
        <is>
          <t>End (min)</t>
        </is>
      </c>
      <c r="F4" s="9" t="inlineStr">
        <is>
          <t>Maintenance delay (min)</t>
        </is>
      </c>
      <c r="G4" s="9" t="inlineStr">
        <is>
          <t>Quality / rework allowance (min)</t>
        </is>
      </c>
      <c r="H4" s="9" t="inlineStr">
        <is>
          <t>Total effective duration</t>
        </is>
      </c>
      <c r="I4" s="15" t="inlineStr">
        <is>
          <t>Gantt label</t>
        </is>
      </c>
    </row>
    <row r="5">
      <c r="A5" s="16" t="inlineStr">
        <is>
          <t>U1</t>
        </is>
      </c>
      <c r="B5" s="16" t="inlineStr">
        <is>
          <t>M1 – Preparation</t>
        </is>
      </c>
      <c r="C5" s="17">
        <f>Inputs!$C$5</f>
        <v/>
      </c>
      <c r="D5" s="17" t="n">
        <v>0</v>
      </c>
      <c r="E5" s="17">
        <f>D5+H5</f>
        <v/>
      </c>
      <c r="F5" s="17">
        <f>0</f>
        <v/>
      </c>
      <c r="G5" s="17">
        <f>0</f>
        <v/>
      </c>
      <c r="H5" s="17">
        <f>C5+F5+G5</f>
        <v/>
      </c>
      <c r="I5" s="18">
        <f>A5&amp;" | "&amp;B5</f>
        <v/>
      </c>
    </row>
    <row r="6">
      <c r="A6" s="19" t="inlineStr">
        <is>
          <t>U1</t>
        </is>
      </c>
      <c r="B6" s="19" t="inlineStr">
        <is>
          <t>M2 – Assembly</t>
        </is>
      </c>
      <c r="C6" s="20">
        <f>Inputs!$C$6</f>
        <v/>
      </c>
      <c r="D6" s="20">
        <f>E5</f>
        <v/>
      </c>
      <c r="E6" s="20">
        <f>D6+H6</f>
        <v/>
      </c>
      <c r="F6" s="20">
        <f>0</f>
        <v/>
      </c>
      <c r="G6" s="20">
        <f>0</f>
        <v/>
      </c>
      <c r="H6" s="20">
        <f>C6+F6+G6</f>
        <v/>
      </c>
      <c r="I6" s="21">
        <f>A6&amp;" | "&amp;B6</f>
        <v/>
      </c>
    </row>
    <row r="7">
      <c r="A7" s="22" t="inlineStr">
        <is>
          <t>U1</t>
        </is>
      </c>
      <c r="B7" s="22" t="inlineStr">
        <is>
          <t>M3 – Inspection/test</t>
        </is>
      </c>
      <c r="C7" s="23">
        <f>Inputs!$C$7</f>
        <v/>
      </c>
      <c r="D7" s="23">
        <f>E6</f>
        <v/>
      </c>
      <c r="E7" s="23">
        <f>D7+H7</f>
        <v/>
      </c>
      <c r="F7" s="23">
        <f>0</f>
        <v/>
      </c>
      <c r="G7" s="23">
        <f>0</f>
        <v/>
      </c>
      <c r="H7" s="23">
        <f>C7+F7+G7</f>
        <v/>
      </c>
      <c r="I7" s="24">
        <f>A7&amp;" | "&amp;B7</f>
        <v/>
      </c>
    </row>
    <row r="8">
      <c r="A8" s="25" t="inlineStr">
        <is>
          <t>U1</t>
        </is>
      </c>
      <c r="B8" s="25" t="inlineStr">
        <is>
          <t>M4 – Finishing/packing</t>
        </is>
      </c>
      <c r="C8" s="26">
        <f>Inputs!$C$8</f>
        <v/>
      </c>
      <c r="D8" s="26">
        <f>E7</f>
        <v/>
      </c>
      <c r="E8" s="26">
        <f>D8+H8</f>
        <v/>
      </c>
      <c r="F8" s="26">
        <f>0</f>
        <v/>
      </c>
      <c r="G8" s="26">
        <f>0</f>
        <v/>
      </c>
      <c r="H8" s="26">
        <f>C8+F8+G8</f>
        <v/>
      </c>
      <c r="I8" s="27">
        <f>A8&amp;" | "&amp;B8</f>
        <v/>
      </c>
    </row>
    <row r="9">
      <c r="A9" s="16" t="inlineStr">
        <is>
          <t>U2</t>
        </is>
      </c>
      <c r="B9" s="16" t="inlineStr">
        <is>
          <t>M1 – Preparation</t>
        </is>
      </c>
      <c r="C9" s="17">
        <f>Inputs!$C$5</f>
        <v/>
      </c>
      <c r="D9" s="17">
        <f>E5</f>
        <v/>
      </c>
      <c r="E9" s="17">
        <f>D9+H9</f>
        <v/>
      </c>
      <c r="F9" s="17">
        <f>0</f>
        <v/>
      </c>
      <c r="G9" s="17">
        <f>0</f>
        <v/>
      </c>
      <c r="H9" s="17">
        <f>C9+F9+G9</f>
        <v/>
      </c>
      <c r="I9" s="18">
        <f>A9&amp;" | "&amp;B9</f>
        <v/>
      </c>
    </row>
    <row r="10">
      <c r="A10" s="19" t="inlineStr">
        <is>
          <t>U2</t>
        </is>
      </c>
      <c r="B10" s="19" t="inlineStr">
        <is>
          <t>M2 – Assembly</t>
        </is>
      </c>
      <c r="C10" s="20">
        <f>Inputs!$C$6</f>
        <v/>
      </c>
      <c r="D10" s="20">
        <f>MAX(E6,E9)</f>
        <v/>
      </c>
      <c r="E10" s="20">
        <f>D10+H10</f>
        <v/>
      </c>
      <c r="F10" s="20">
        <f>0</f>
        <v/>
      </c>
      <c r="G10" s="20">
        <f>0</f>
        <v/>
      </c>
      <c r="H10" s="20">
        <f>C10+F10+G10</f>
        <v/>
      </c>
      <c r="I10" s="21">
        <f>A10&amp;" | "&amp;B10</f>
        <v/>
      </c>
    </row>
    <row r="11">
      <c r="A11" s="22" t="inlineStr">
        <is>
          <t>U2</t>
        </is>
      </c>
      <c r="B11" s="22" t="inlineStr">
        <is>
          <t>M3 – Inspection/test</t>
        </is>
      </c>
      <c r="C11" s="23">
        <f>Inputs!$C$7</f>
        <v/>
      </c>
      <c r="D11" s="23">
        <f>MAX(E7,E10)</f>
        <v/>
      </c>
      <c r="E11" s="23">
        <f>D11+H11</f>
        <v/>
      </c>
      <c r="F11" s="23">
        <f>0</f>
        <v/>
      </c>
      <c r="G11" s="23">
        <f>0</f>
        <v/>
      </c>
      <c r="H11" s="23">
        <f>C11+F11+G11</f>
        <v/>
      </c>
      <c r="I11" s="24">
        <f>A11&amp;" | "&amp;B11</f>
        <v/>
      </c>
    </row>
    <row r="12">
      <c r="A12" s="25" t="inlineStr">
        <is>
          <t>U2</t>
        </is>
      </c>
      <c r="B12" s="25" t="inlineStr">
        <is>
          <t>M4 – Finishing/packing</t>
        </is>
      </c>
      <c r="C12" s="26">
        <f>Inputs!$C$8</f>
        <v/>
      </c>
      <c r="D12" s="26">
        <f>MAX(E8,E11)</f>
        <v/>
      </c>
      <c r="E12" s="26">
        <f>D12+H12</f>
        <v/>
      </c>
      <c r="F12" s="26">
        <f>0</f>
        <v/>
      </c>
      <c r="G12" s="26">
        <f>0</f>
        <v/>
      </c>
      <c r="H12" s="26">
        <f>C12+F12+G12</f>
        <v/>
      </c>
      <c r="I12" s="27">
        <f>A12&amp;" | "&amp;B12</f>
        <v/>
      </c>
    </row>
    <row r="13">
      <c r="A13" s="16" t="inlineStr">
        <is>
          <t>U3</t>
        </is>
      </c>
      <c r="B13" s="16" t="inlineStr">
        <is>
          <t>M1 – Preparation</t>
        </is>
      </c>
      <c r="C13" s="17">
        <f>Inputs!$C$5</f>
        <v/>
      </c>
      <c r="D13" s="17">
        <f>E9</f>
        <v/>
      </c>
      <c r="E13" s="17">
        <f>D13+H13</f>
        <v/>
      </c>
      <c r="F13" s="17">
        <f>0</f>
        <v/>
      </c>
      <c r="G13" s="17">
        <f>0</f>
        <v/>
      </c>
      <c r="H13" s="17">
        <f>C13+F13+G13</f>
        <v/>
      </c>
      <c r="I13" s="18">
        <f>A13&amp;" | "&amp;B13</f>
        <v/>
      </c>
    </row>
    <row r="14">
      <c r="A14" s="19" t="inlineStr">
        <is>
          <t>U3</t>
        </is>
      </c>
      <c r="B14" s="19" t="inlineStr">
        <is>
          <t>M2 – Assembly</t>
        </is>
      </c>
      <c r="C14" s="20">
        <f>Inputs!$C$6</f>
        <v/>
      </c>
      <c r="D14" s="20">
        <f>MAX(E10,E13)</f>
        <v/>
      </c>
      <c r="E14" s="20">
        <f>D14+H14</f>
        <v/>
      </c>
      <c r="F14" s="20">
        <f>0</f>
        <v/>
      </c>
      <c r="G14" s="20">
        <f>0</f>
        <v/>
      </c>
      <c r="H14" s="20">
        <f>C14+F14+G14</f>
        <v/>
      </c>
      <c r="I14" s="21">
        <f>A14&amp;" | "&amp;B14</f>
        <v/>
      </c>
    </row>
    <row r="15">
      <c r="A15" s="22" t="inlineStr">
        <is>
          <t>U3</t>
        </is>
      </c>
      <c r="B15" s="22" t="inlineStr">
        <is>
          <t>M3 – Inspection/test</t>
        </is>
      </c>
      <c r="C15" s="23">
        <f>Inputs!$C$7</f>
        <v/>
      </c>
      <c r="D15" s="23">
        <f>MAX(E11,E14)</f>
        <v/>
      </c>
      <c r="E15" s="23">
        <f>D15+H15</f>
        <v/>
      </c>
      <c r="F15" s="23">
        <f>0</f>
        <v/>
      </c>
      <c r="G15" s="23">
        <f>0</f>
        <v/>
      </c>
      <c r="H15" s="23">
        <f>C15+F15+G15</f>
        <v/>
      </c>
      <c r="I15" s="24">
        <f>A15&amp;" | "&amp;B15</f>
        <v/>
      </c>
    </row>
    <row r="16">
      <c r="A16" s="25" t="inlineStr">
        <is>
          <t>U3</t>
        </is>
      </c>
      <c r="B16" s="25" t="inlineStr">
        <is>
          <t>M4 – Finishing/packing</t>
        </is>
      </c>
      <c r="C16" s="26">
        <f>Inputs!$C$8</f>
        <v/>
      </c>
      <c r="D16" s="26">
        <f>MAX(E12,E15)</f>
        <v/>
      </c>
      <c r="E16" s="26">
        <f>D16+H16</f>
        <v/>
      </c>
      <c r="F16" s="26">
        <f>0</f>
        <v/>
      </c>
      <c r="G16" s="26">
        <f>0</f>
        <v/>
      </c>
      <c r="H16" s="26">
        <f>C16+F16+G16</f>
        <v/>
      </c>
      <c r="I16" s="27">
        <f>A16&amp;" | "&amp;B16</f>
        <v/>
      </c>
    </row>
  </sheetData>
  <autoFilter ref="A4:H16"/>
  <mergeCells count="2">
    <mergeCell ref="A3:H3"/>
    <mergeCell ref="A1:H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4" customWidth="1" min="5" max="5"/>
    <col width="20" customWidth="1" min="6" max="6"/>
    <col width="27" customWidth="1" min="7" max="7"/>
    <col width="22" customWidth="1" min="8" max="8"/>
    <col width="32" customWidth="1" min="9" max="9"/>
    <col width="18" customWidth="1" min="10" max="10"/>
    <col width="18" customWidth="1" min="11" max="11"/>
  </cols>
  <sheetData>
    <row r="1" ht="28" customHeight="1">
      <c r="A1" s="1" t="inlineStr">
        <is>
          <t>SCENARIO 2 | Parallel resources at assembly</t>
        </is>
      </c>
    </row>
    <row r="3">
      <c r="A3" s="8" t="inlineStr">
        <is>
          <t>Editable schedule structure; times are formulas linked to Inputs. Change assumptions in Inputs, not formula cells.</t>
        </is>
      </c>
    </row>
    <row r="4">
      <c r="A4" s="9" t="inlineStr">
        <is>
          <t>Unit</t>
        </is>
      </c>
      <c r="B4" s="9" t="inlineStr">
        <is>
          <t>Operation / resource</t>
        </is>
      </c>
      <c r="C4" s="9" t="inlineStr">
        <is>
          <t>Base duration (min)</t>
        </is>
      </c>
      <c r="D4" s="9" t="inlineStr">
        <is>
          <t>Start (min)</t>
        </is>
      </c>
      <c r="E4" s="9" t="inlineStr">
        <is>
          <t>End (min)</t>
        </is>
      </c>
      <c r="F4" s="9" t="inlineStr">
        <is>
          <t>Maintenance delay (min)</t>
        </is>
      </c>
      <c r="G4" s="9" t="inlineStr">
        <is>
          <t>Quality / rework allowance (min)</t>
        </is>
      </c>
      <c r="H4" s="9" t="inlineStr">
        <is>
          <t>Total effective duration</t>
        </is>
      </c>
      <c r="I4" s="15" t="inlineStr">
        <is>
          <t>Gantt label</t>
        </is>
      </c>
    </row>
    <row r="5">
      <c r="A5" s="16" t="inlineStr">
        <is>
          <t>U1</t>
        </is>
      </c>
      <c r="B5" s="16" t="inlineStr">
        <is>
          <t>M1 – Preparation</t>
        </is>
      </c>
      <c r="C5" s="17">
        <f>Inputs!$C$5</f>
        <v/>
      </c>
      <c r="D5" s="17">
        <f>0</f>
        <v/>
      </c>
      <c r="E5" s="17">
        <f>D5+H5</f>
        <v/>
      </c>
      <c r="F5" s="17">
        <f>0</f>
        <v/>
      </c>
      <c r="G5" s="17">
        <f>0</f>
        <v/>
      </c>
      <c r="H5" s="17">
        <f>C5+F5+G5</f>
        <v/>
      </c>
      <c r="I5" s="18">
        <f>A5&amp;" | "&amp;B5</f>
        <v/>
      </c>
    </row>
    <row r="6">
      <c r="A6" s="19" t="inlineStr">
        <is>
          <t>U1</t>
        </is>
      </c>
      <c r="B6" s="19" t="inlineStr">
        <is>
          <t>M2 – M2-A</t>
        </is>
      </c>
      <c r="C6" s="20">
        <f>Inputs!$C$12</f>
        <v/>
      </c>
      <c r="D6" s="20">
        <f>E5</f>
        <v/>
      </c>
      <c r="E6" s="20">
        <f>D6+H6</f>
        <v/>
      </c>
      <c r="F6" s="20">
        <f>0</f>
        <v/>
      </c>
      <c r="G6" s="20">
        <f>0</f>
        <v/>
      </c>
      <c r="H6" s="20">
        <f>C6+F6+G6</f>
        <v/>
      </c>
      <c r="I6" s="21">
        <f>A6&amp;" | "&amp;B6</f>
        <v/>
      </c>
    </row>
    <row r="7">
      <c r="A7" s="22" t="inlineStr">
        <is>
          <t>U1</t>
        </is>
      </c>
      <c r="B7" s="22" t="inlineStr">
        <is>
          <t>M3 – Inspection/test</t>
        </is>
      </c>
      <c r="C7" s="23">
        <f>Inputs!$C$7</f>
        <v/>
      </c>
      <c r="D7" s="23">
        <f>E6</f>
        <v/>
      </c>
      <c r="E7" s="23">
        <f>D7+H7</f>
        <v/>
      </c>
      <c r="F7" s="23">
        <f>0</f>
        <v/>
      </c>
      <c r="G7" s="23">
        <f>0</f>
        <v/>
      </c>
      <c r="H7" s="23">
        <f>C7+F7+G7</f>
        <v/>
      </c>
      <c r="I7" s="24">
        <f>A7&amp;" | "&amp;B7</f>
        <v/>
      </c>
    </row>
    <row r="8">
      <c r="A8" s="25" t="inlineStr">
        <is>
          <t>U1</t>
        </is>
      </c>
      <c r="B8" s="25" t="inlineStr">
        <is>
          <t>M4 – Finishing/packing</t>
        </is>
      </c>
      <c r="C8" s="26">
        <f>Inputs!$C$8</f>
        <v/>
      </c>
      <c r="D8" s="26">
        <f>E7</f>
        <v/>
      </c>
      <c r="E8" s="26">
        <f>D8+H8</f>
        <v/>
      </c>
      <c r="F8" s="26">
        <f>0</f>
        <v/>
      </c>
      <c r="G8" s="26">
        <f>0</f>
        <v/>
      </c>
      <c r="H8" s="26">
        <f>C8+F8+G8</f>
        <v/>
      </c>
      <c r="I8" s="27">
        <f>A8&amp;" | "&amp;B8</f>
        <v/>
      </c>
    </row>
    <row r="9">
      <c r="A9" s="16" t="inlineStr">
        <is>
          <t>U2</t>
        </is>
      </c>
      <c r="B9" s="16" t="inlineStr">
        <is>
          <t>M1 – Preparation</t>
        </is>
      </c>
      <c r="C9" s="17">
        <f>Inputs!$C$5</f>
        <v/>
      </c>
      <c r="D9" s="17">
        <f>E5</f>
        <v/>
      </c>
      <c r="E9" s="17">
        <f>D9+H9</f>
        <v/>
      </c>
      <c r="F9" s="17">
        <f>0</f>
        <v/>
      </c>
      <c r="G9" s="17">
        <f>0</f>
        <v/>
      </c>
      <c r="H9" s="17">
        <f>C9+F9+G9</f>
        <v/>
      </c>
      <c r="I9" s="18">
        <f>A9&amp;" | "&amp;B9</f>
        <v/>
      </c>
    </row>
    <row r="10">
      <c r="A10" s="19" t="inlineStr">
        <is>
          <t>U2</t>
        </is>
      </c>
      <c r="B10" s="19" t="inlineStr">
        <is>
          <t>M2 – M2-B</t>
        </is>
      </c>
      <c r="C10" s="20">
        <f>Inputs!$C$13</f>
        <v/>
      </c>
      <c r="D10" s="20">
        <f>E9</f>
        <v/>
      </c>
      <c r="E10" s="20">
        <f>D10+H10</f>
        <v/>
      </c>
      <c r="F10" s="20">
        <f>0</f>
        <v/>
      </c>
      <c r="G10" s="20">
        <f>0</f>
        <v/>
      </c>
      <c r="H10" s="20">
        <f>C10+F10+G10</f>
        <v/>
      </c>
      <c r="I10" s="21">
        <f>A10&amp;" | "&amp;B10</f>
        <v/>
      </c>
    </row>
    <row r="11">
      <c r="A11" s="22" t="inlineStr">
        <is>
          <t>U2</t>
        </is>
      </c>
      <c r="B11" s="22" t="inlineStr">
        <is>
          <t>M3 – Inspection/test</t>
        </is>
      </c>
      <c r="C11" s="23">
        <f>Inputs!$C$7</f>
        <v/>
      </c>
      <c r="D11" s="23">
        <f>MAX(E10,E7)</f>
        <v/>
      </c>
      <c r="E11" s="23">
        <f>D11+H11</f>
        <v/>
      </c>
      <c r="F11" s="23">
        <f>0</f>
        <v/>
      </c>
      <c r="G11" s="23">
        <f>0</f>
        <v/>
      </c>
      <c r="H11" s="23">
        <f>C11+F11+G11</f>
        <v/>
      </c>
      <c r="I11" s="24">
        <f>A11&amp;" | "&amp;B11</f>
        <v/>
      </c>
    </row>
    <row r="12">
      <c r="A12" s="25" t="inlineStr">
        <is>
          <t>U2</t>
        </is>
      </c>
      <c r="B12" s="25" t="inlineStr">
        <is>
          <t>M4 – Finishing/packing</t>
        </is>
      </c>
      <c r="C12" s="26">
        <f>Inputs!$C$8</f>
        <v/>
      </c>
      <c r="D12" s="26">
        <f>MAX(E11,E8)</f>
        <v/>
      </c>
      <c r="E12" s="26">
        <f>D12+H12</f>
        <v/>
      </c>
      <c r="F12" s="26">
        <f>0</f>
        <v/>
      </c>
      <c r="G12" s="26">
        <f>0</f>
        <v/>
      </c>
      <c r="H12" s="26">
        <f>C12+F12+G12</f>
        <v/>
      </c>
      <c r="I12" s="27">
        <f>A12&amp;" | "&amp;B12</f>
        <v/>
      </c>
    </row>
    <row r="13">
      <c r="A13" s="16" t="inlineStr">
        <is>
          <t>U3</t>
        </is>
      </c>
      <c r="B13" s="16" t="inlineStr">
        <is>
          <t>M1 – Preparation</t>
        </is>
      </c>
      <c r="C13" s="17">
        <f>Inputs!$C$5</f>
        <v/>
      </c>
      <c r="D13" s="17">
        <f>E9</f>
        <v/>
      </c>
      <c r="E13" s="17">
        <f>D13+H13</f>
        <v/>
      </c>
      <c r="F13" s="17">
        <f>0</f>
        <v/>
      </c>
      <c r="G13" s="17">
        <f>0</f>
        <v/>
      </c>
      <c r="H13" s="17">
        <f>C13+F13+G13</f>
        <v/>
      </c>
      <c r="I13" s="18">
        <f>A13&amp;" | "&amp;B13</f>
        <v/>
      </c>
    </row>
    <row r="14">
      <c r="A14" s="19" t="inlineStr">
        <is>
          <t>U3</t>
        </is>
      </c>
      <c r="B14" s="19" t="inlineStr">
        <is>
          <t>M2 – M2-A</t>
        </is>
      </c>
      <c r="C14" s="20">
        <f>Inputs!$C$12</f>
        <v/>
      </c>
      <c r="D14" s="20">
        <f>MAX(E13,E6)</f>
        <v/>
      </c>
      <c r="E14" s="20">
        <f>D14+H14</f>
        <v/>
      </c>
      <c r="F14" s="20">
        <f>0</f>
        <v/>
      </c>
      <c r="G14" s="20">
        <f>0</f>
        <v/>
      </c>
      <c r="H14" s="20">
        <f>C14+F14+G14</f>
        <v/>
      </c>
      <c r="I14" s="21">
        <f>A14&amp;" | "&amp;B14</f>
        <v/>
      </c>
    </row>
    <row r="15">
      <c r="A15" s="22" t="inlineStr">
        <is>
          <t>U3</t>
        </is>
      </c>
      <c r="B15" s="22" t="inlineStr">
        <is>
          <t>M3 – Inspection/test</t>
        </is>
      </c>
      <c r="C15" s="23">
        <f>Inputs!$C$7</f>
        <v/>
      </c>
      <c r="D15" s="23">
        <f>MAX(E14,E7)</f>
        <v/>
      </c>
      <c r="E15" s="23">
        <f>D15+H15</f>
        <v/>
      </c>
      <c r="F15" s="23">
        <f>0</f>
        <v/>
      </c>
      <c r="G15" s="23">
        <f>0</f>
        <v/>
      </c>
      <c r="H15" s="23">
        <f>C15+F15+G15</f>
        <v/>
      </c>
      <c r="I15" s="24">
        <f>A15&amp;" | "&amp;B15</f>
        <v/>
      </c>
    </row>
    <row r="16">
      <c r="A16" s="25" t="inlineStr">
        <is>
          <t>U3</t>
        </is>
      </c>
      <c r="B16" s="25" t="inlineStr">
        <is>
          <t>M4 – Finishing/packing</t>
        </is>
      </c>
      <c r="C16" s="26">
        <f>Inputs!$C$8</f>
        <v/>
      </c>
      <c r="D16" s="26">
        <f>MAX(E15,E8)</f>
        <v/>
      </c>
      <c r="E16" s="26">
        <f>D16+H16</f>
        <v/>
      </c>
      <c r="F16" s="26">
        <f>0</f>
        <v/>
      </c>
      <c r="G16" s="26">
        <f>0</f>
        <v/>
      </c>
      <c r="H16" s="26">
        <f>C16+F16+G16</f>
        <v/>
      </c>
      <c r="I16" s="27">
        <f>A16&amp;" | "&amp;B16</f>
        <v/>
      </c>
    </row>
  </sheetData>
  <autoFilter ref="A4:H16"/>
  <mergeCells count="2">
    <mergeCell ref="A3:H3"/>
    <mergeCell ref="A1:H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I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4" customWidth="1" min="5" max="5"/>
    <col width="20" customWidth="1" min="6" max="6"/>
    <col width="27" customWidth="1" min="7" max="7"/>
    <col width="22" customWidth="1" min="8" max="8"/>
    <col width="32" customWidth="1" min="9" max="9"/>
    <col width="18" customWidth="1" min="10" max="10"/>
    <col width="18" customWidth="1" min="11" max="11"/>
  </cols>
  <sheetData>
    <row r="1" ht="28" customHeight="1">
      <c r="A1" s="1" t="inlineStr">
        <is>
          <t>SCENARIO 3 | Parallel branches merging at assembly</t>
        </is>
      </c>
    </row>
    <row r="3">
      <c r="A3" s="8" t="inlineStr">
        <is>
          <t>Editable schedule structure; times are formulas linked to Inputs. Change assumptions in Inputs, not formula cells.</t>
        </is>
      </c>
    </row>
    <row r="4">
      <c r="A4" s="9" t="inlineStr">
        <is>
          <t>Unit</t>
        </is>
      </c>
      <c r="B4" s="9" t="inlineStr">
        <is>
          <t>Operation / resource</t>
        </is>
      </c>
      <c r="C4" s="9" t="inlineStr">
        <is>
          <t>Base duration (min)</t>
        </is>
      </c>
      <c r="D4" s="9" t="inlineStr">
        <is>
          <t>Start (min)</t>
        </is>
      </c>
      <c r="E4" s="9" t="inlineStr">
        <is>
          <t>End (min)</t>
        </is>
      </c>
      <c r="F4" s="9" t="inlineStr">
        <is>
          <t>Maintenance delay (min)</t>
        </is>
      </c>
      <c r="G4" s="9" t="inlineStr">
        <is>
          <t>Quality / rework allowance (min)</t>
        </is>
      </c>
      <c r="H4" s="9" t="inlineStr">
        <is>
          <t>Total effective duration</t>
        </is>
      </c>
      <c r="I4" s="15" t="inlineStr">
        <is>
          <t>Gantt label</t>
        </is>
      </c>
    </row>
    <row r="5">
      <c r="A5" s="28" t="inlineStr">
        <is>
          <t>U1</t>
        </is>
      </c>
      <c r="B5" s="28" t="inlineStr">
        <is>
          <t>Branch A – Structure</t>
        </is>
      </c>
      <c r="C5" s="29">
        <f>Inputs!$C$14</f>
        <v/>
      </c>
      <c r="D5" s="29">
        <f>0</f>
        <v/>
      </c>
      <c r="E5" s="29">
        <f>D5+H5</f>
        <v/>
      </c>
      <c r="F5" s="29">
        <f>0</f>
        <v/>
      </c>
      <c r="G5" s="29">
        <f>Inputs!$C$21</f>
        <v/>
      </c>
      <c r="H5" s="29">
        <f>C5+F5+G5</f>
        <v/>
      </c>
      <c r="I5" s="30">
        <f>A5&amp;" | "&amp;B5</f>
        <v/>
      </c>
    </row>
    <row r="6">
      <c r="A6" s="31" t="inlineStr">
        <is>
          <t>U1</t>
        </is>
      </c>
      <c r="B6" s="31" t="inlineStr">
        <is>
          <t>Branch B – Components</t>
        </is>
      </c>
      <c r="C6" s="32">
        <f>Inputs!$C$15</f>
        <v/>
      </c>
      <c r="D6" s="32">
        <f>0</f>
        <v/>
      </c>
      <c r="E6" s="32">
        <f>D6+H6</f>
        <v/>
      </c>
      <c r="F6" s="32">
        <f>0</f>
        <v/>
      </c>
      <c r="G6" s="32">
        <f>Inputs!$C$21</f>
        <v/>
      </c>
      <c r="H6" s="32">
        <f>C6+F6+G6</f>
        <v/>
      </c>
      <c r="I6" s="33">
        <f>A6&amp;" | "&amp;B6</f>
        <v/>
      </c>
    </row>
    <row r="7">
      <c r="A7" s="19" t="inlineStr">
        <is>
          <t>U1</t>
        </is>
      </c>
      <c r="B7" s="19" t="inlineStr">
        <is>
          <t>Final assembly</t>
        </is>
      </c>
      <c r="C7" s="20">
        <f>Inputs!$C$16</f>
        <v/>
      </c>
      <c r="D7" s="20">
        <f>MAX(E5,E6)</f>
        <v/>
      </c>
      <c r="E7" s="20">
        <f>D7+H7</f>
        <v/>
      </c>
      <c r="F7" s="20">
        <f>0</f>
        <v/>
      </c>
      <c r="G7" s="20">
        <f>0</f>
        <v/>
      </c>
      <c r="H7" s="20">
        <f>C7+F7+G7</f>
        <v/>
      </c>
      <c r="I7" s="21">
        <f>A7&amp;" | "&amp;B7</f>
        <v/>
      </c>
    </row>
    <row r="8">
      <c r="A8" s="22" t="inlineStr">
        <is>
          <t>U1</t>
        </is>
      </c>
      <c r="B8" s="22" t="inlineStr">
        <is>
          <t>Final inspection</t>
        </is>
      </c>
      <c r="C8" s="23">
        <f>Inputs!$C$17</f>
        <v/>
      </c>
      <c r="D8" s="23">
        <f>E7</f>
        <v/>
      </c>
      <c r="E8" s="23">
        <f>D8+H8</f>
        <v/>
      </c>
      <c r="F8" s="23">
        <f>0</f>
        <v/>
      </c>
      <c r="G8" s="23">
        <f>Inputs!$C$20</f>
        <v/>
      </c>
      <c r="H8" s="23">
        <f>C8+F8+G8</f>
        <v/>
      </c>
      <c r="I8" s="24">
        <f>A8&amp;" | "&amp;B8</f>
        <v/>
      </c>
    </row>
    <row r="9">
      <c r="A9" s="25" t="inlineStr">
        <is>
          <t>U1</t>
        </is>
      </c>
      <c r="B9" s="25" t="inlineStr">
        <is>
          <t>Packing</t>
        </is>
      </c>
      <c r="C9" s="26">
        <f>Inputs!$C$18</f>
        <v/>
      </c>
      <c r="D9" s="26">
        <f>E8</f>
        <v/>
      </c>
      <c r="E9" s="26">
        <f>D9+H9</f>
        <v/>
      </c>
      <c r="F9" s="26">
        <f>0</f>
        <v/>
      </c>
      <c r="G9" s="26">
        <f>0</f>
        <v/>
      </c>
      <c r="H9" s="26">
        <f>C9+F9+G9</f>
        <v/>
      </c>
      <c r="I9" s="27">
        <f>A9&amp;" | "&amp;B9</f>
        <v/>
      </c>
    </row>
    <row r="10">
      <c r="A10" s="28" t="inlineStr">
        <is>
          <t>U2</t>
        </is>
      </c>
      <c r="B10" s="28" t="inlineStr">
        <is>
          <t>Branch A – Structure</t>
        </is>
      </c>
      <c r="C10" s="29">
        <f>Inputs!$C$14</f>
        <v/>
      </c>
      <c r="D10" s="29">
        <f>E5</f>
        <v/>
      </c>
      <c r="E10" s="29">
        <f>D10+H10</f>
        <v/>
      </c>
      <c r="F10" s="29">
        <f>0</f>
        <v/>
      </c>
      <c r="G10" s="29">
        <f>Inputs!$C$21</f>
        <v/>
      </c>
      <c r="H10" s="29">
        <f>C10+F10+G10</f>
        <v/>
      </c>
      <c r="I10" s="30">
        <f>A10&amp;" | "&amp;B10</f>
        <v/>
      </c>
    </row>
    <row r="11">
      <c r="A11" s="31" t="inlineStr">
        <is>
          <t>U2</t>
        </is>
      </c>
      <c r="B11" s="31" t="inlineStr">
        <is>
          <t>Branch B – Components</t>
        </is>
      </c>
      <c r="C11" s="32">
        <f>Inputs!$C$15</f>
        <v/>
      </c>
      <c r="D11" s="32">
        <f>E6</f>
        <v/>
      </c>
      <c r="E11" s="32">
        <f>D11+H11</f>
        <v/>
      </c>
      <c r="F11" s="32">
        <f>0</f>
        <v/>
      </c>
      <c r="G11" s="32">
        <f>Inputs!$C$21</f>
        <v/>
      </c>
      <c r="H11" s="32">
        <f>C11+F11+G11</f>
        <v/>
      </c>
      <c r="I11" s="33">
        <f>A11&amp;" | "&amp;B11</f>
        <v/>
      </c>
    </row>
    <row r="12">
      <c r="A12" s="19" t="inlineStr">
        <is>
          <t>U2</t>
        </is>
      </c>
      <c r="B12" s="19" t="inlineStr">
        <is>
          <t>Final assembly</t>
        </is>
      </c>
      <c r="C12" s="20">
        <f>Inputs!$C$16</f>
        <v/>
      </c>
      <c r="D12" s="20">
        <f>MAX(E10,E11,E7)</f>
        <v/>
      </c>
      <c r="E12" s="20">
        <f>D12+H12</f>
        <v/>
      </c>
      <c r="F12" s="20">
        <f>0</f>
        <v/>
      </c>
      <c r="G12" s="20">
        <f>0</f>
        <v/>
      </c>
      <c r="H12" s="20">
        <f>C12+F12+G12</f>
        <v/>
      </c>
      <c r="I12" s="21">
        <f>A12&amp;" | "&amp;B12</f>
        <v/>
      </c>
    </row>
    <row r="13">
      <c r="A13" s="22" t="inlineStr">
        <is>
          <t>U2</t>
        </is>
      </c>
      <c r="B13" s="22" t="inlineStr">
        <is>
          <t>Final inspection</t>
        </is>
      </c>
      <c r="C13" s="23">
        <f>Inputs!$C$17</f>
        <v/>
      </c>
      <c r="D13" s="23">
        <f>MAX(E12,E8)</f>
        <v/>
      </c>
      <c r="E13" s="23">
        <f>D13+H13</f>
        <v/>
      </c>
      <c r="F13" s="23">
        <f>0</f>
        <v/>
      </c>
      <c r="G13" s="23">
        <f>Inputs!$C$20</f>
        <v/>
      </c>
      <c r="H13" s="23">
        <f>C13+F13+G13</f>
        <v/>
      </c>
      <c r="I13" s="24">
        <f>A13&amp;" | "&amp;B13</f>
        <v/>
      </c>
    </row>
    <row r="14">
      <c r="A14" s="25" t="inlineStr">
        <is>
          <t>U2</t>
        </is>
      </c>
      <c r="B14" s="25" t="inlineStr">
        <is>
          <t>Packing</t>
        </is>
      </c>
      <c r="C14" s="26">
        <f>Inputs!$C$18</f>
        <v/>
      </c>
      <c r="D14" s="26">
        <f>MAX(E13,E9)</f>
        <v/>
      </c>
      <c r="E14" s="26">
        <f>D14+H14</f>
        <v/>
      </c>
      <c r="F14" s="26">
        <f>0</f>
        <v/>
      </c>
      <c r="G14" s="26">
        <f>0</f>
        <v/>
      </c>
      <c r="H14" s="26">
        <f>C14+F14+G14</f>
        <v/>
      </c>
      <c r="I14" s="27">
        <f>A14&amp;" | "&amp;B14</f>
        <v/>
      </c>
    </row>
    <row r="15">
      <c r="A15" s="28" t="inlineStr">
        <is>
          <t>U3</t>
        </is>
      </c>
      <c r="B15" s="28" t="inlineStr">
        <is>
          <t>Branch A – Structure</t>
        </is>
      </c>
      <c r="C15" s="29">
        <f>Inputs!$C$14</f>
        <v/>
      </c>
      <c r="D15" s="29">
        <f>E10</f>
        <v/>
      </c>
      <c r="E15" s="29">
        <f>D15+H15</f>
        <v/>
      </c>
      <c r="F15" s="29">
        <f>0</f>
        <v/>
      </c>
      <c r="G15" s="29">
        <f>Inputs!$C$21</f>
        <v/>
      </c>
      <c r="H15" s="29">
        <f>C15+F15+G15</f>
        <v/>
      </c>
      <c r="I15" s="30">
        <f>A15&amp;" | "&amp;B15</f>
        <v/>
      </c>
    </row>
    <row r="16">
      <c r="A16" s="31" t="inlineStr">
        <is>
          <t>U3</t>
        </is>
      </c>
      <c r="B16" s="31" t="inlineStr">
        <is>
          <t>Branch B – Components</t>
        </is>
      </c>
      <c r="C16" s="32">
        <f>Inputs!$C$15</f>
        <v/>
      </c>
      <c r="D16" s="32">
        <f>E11</f>
        <v/>
      </c>
      <c r="E16" s="32">
        <f>D16+H16</f>
        <v/>
      </c>
      <c r="F16" s="32">
        <f>0</f>
        <v/>
      </c>
      <c r="G16" s="32">
        <f>Inputs!$C$21</f>
        <v/>
      </c>
      <c r="H16" s="32">
        <f>C16+F16+G16</f>
        <v/>
      </c>
      <c r="I16" s="33">
        <f>A16&amp;" | "&amp;B16</f>
        <v/>
      </c>
    </row>
    <row r="17">
      <c r="A17" s="19" t="inlineStr">
        <is>
          <t>U3</t>
        </is>
      </c>
      <c r="B17" s="19" t="inlineStr">
        <is>
          <t>Final assembly</t>
        </is>
      </c>
      <c r="C17" s="20">
        <f>Inputs!$C$16</f>
        <v/>
      </c>
      <c r="D17" s="20">
        <f>MAX(E15,E16,E7)</f>
        <v/>
      </c>
      <c r="E17" s="20">
        <f>D17+H17</f>
        <v/>
      </c>
      <c r="F17" s="20">
        <f>0</f>
        <v/>
      </c>
      <c r="G17" s="20">
        <f>0</f>
        <v/>
      </c>
      <c r="H17" s="20">
        <f>C17+F17+G17</f>
        <v/>
      </c>
      <c r="I17" s="21">
        <f>A17&amp;" | "&amp;B17</f>
        <v/>
      </c>
    </row>
    <row r="18">
      <c r="A18" s="22" t="inlineStr">
        <is>
          <t>U3</t>
        </is>
      </c>
      <c r="B18" s="22" t="inlineStr">
        <is>
          <t>Final inspection</t>
        </is>
      </c>
      <c r="C18" s="23">
        <f>Inputs!$C$17</f>
        <v/>
      </c>
      <c r="D18" s="23">
        <f>MAX(E17,E8)</f>
        <v/>
      </c>
      <c r="E18" s="23">
        <f>D18+H18</f>
        <v/>
      </c>
      <c r="F18" s="23">
        <f>0</f>
        <v/>
      </c>
      <c r="G18" s="23">
        <f>Inputs!$C$20</f>
        <v/>
      </c>
      <c r="H18" s="23">
        <f>C18+F18+G18</f>
        <v/>
      </c>
      <c r="I18" s="24">
        <f>A18&amp;" | "&amp;B18</f>
        <v/>
      </c>
    </row>
    <row r="19">
      <c r="A19" s="25" t="inlineStr">
        <is>
          <t>U3</t>
        </is>
      </c>
      <c r="B19" s="25" t="inlineStr">
        <is>
          <t>Packing</t>
        </is>
      </c>
      <c r="C19" s="26">
        <f>Inputs!$C$18</f>
        <v/>
      </c>
      <c r="D19" s="26">
        <f>MAX(E18,E9)</f>
        <v/>
      </c>
      <c r="E19" s="26">
        <f>D19+H19</f>
        <v/>
      </c>
      <c r="F19" s="26">
        <f>0</f>
        <v/>
      </c>
      <c r="G19" s="26">
        <f>0</f>
        <v/>
      </c>
      <c r="H19" s="26">
        <f>C19+F19+G19</f>
        <v/>
      </c>
      <c r="I19" s="27">
        <f>A19&amp;" | "&amp;B19</f>
        <v/>
      </c>
    </row>
  </sheetData>
  <autoFilter ref="A4:H19"/>
  <mergeCells count="2">
    <mergeCell ref="A3:H3"/>
    <mergeCell ref="A1:H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M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26" customWidth="1" min="8" max="8"/>
    <col width="26" customWidth="1" min="9" max="9"/>
    <col width="18" customWidth="1" min="10" max="10"/>
    <col width="18" customWidth="1" min="11" max="11"/>
    <col width="20" customWidth="1" min="12" max="12"/>
    <col width="54" customWidth="1" min="13" max="13"/>
  </cols>
  <sheetData>
    <row r="1" ht="28" customHeight="1">
      <c r="A1" s="1" t="inlineStr">
        <is>
          <t>POLICY EXPERIMENTS | Quality × Maintenance × Production Flow</t>
        </is>
      </c>
    </row>
    <row r="3">
      <c r="A3" s="14" t="inlineStr">
        <is>
          <t>This comparison table is a transparent expected-value screening model. It is not a discrete-event simulation; replace assumptions and later validate against plant observations.</t>
        </is>
      </c>
    </row>
    <row r="4">
      <c r="A4" s="9" t="inlineStr">
        <is>
          <t>Experiment ID</t>
        </is>
      </c>
      <c r="B4" s="9" t="inlineStr">
        <is>
          <t>Production scenario</t>
        </is>
      </c>
      <c r="C4" s="9" t="inlineStr">
        <is>
          <t>Quality policy</t>
        </is>
      </c>
      <c r="D4" s="9" t="inlineStr">
        <is>
          <t>Maintenance policy</t>
        </is>
      </c>
      <c r="E4" s="9" t="inlineStr">
        <is>
          <t>Base batch time (min)</t>
        </is>
      </c>
      <c r="F4" s="9" t="inlineStr">
        <is>
          <t>Quality extra time (min)</t>
        </is>
      </c>
      <c r="G4" s="9" t="inlineStr">
        <is>
          <t>Expected rework time (min)</t>
        </is>
      </c>
      <c r="H4" s="9" t="inlineStr">
        <is>
          <t>Expected maintenance downtime (min)</t>
        </is>
      </c>
      <c r="I4" s="9" t="inlineStr">
        <is>
          <t>Estimated batch completion (min)</t>
        </is>
      </c>
      <c r="J4" s="9" t="inlineStr">
        <is>
          <t>Expected defect units</t>
        </is>
      </c>
      <c r="K4" s="9" t="inlineStr">
        <is>
          <t>Estimated good units</t>
        </is>
      </c>
      <c r="L4" s="9" t="inlineStr">
        <is>
          <t>Relative total cost</t>
        </is>
      </c>
      <c r="M4" s="9" t="inlineStr">
        <is>
          <t>Notes / assumption</t>
        </is>
      </c>
    </row>
    <row r="5">
      <c r="A5" s="10" t="inlineStr">
        <is>
          <t>E1</t>
        </is>
      </c>
      <c r="B5" s="10" t="inlineStr">
        <is>
          <t>Scenario 1</t>
        </is>
      </c>
      <c r="C5" s="10" t="inlineStr">
        <is>
          <t>Standard</t>
        </is>
      </c>
      <c r="D5" s="10" t="inlineStr">
        <is>
          <t>Preventive</t>
        </is>
      </c>
      <c r="E5" s="13">
        <f>'Scenario_1'!E16</f>
        <v/>
      </c>
      <c r="F5" s="13">
        <f>Inputs!$C$19*Inputs!$C$9</f>
        <v/>
      </c>
      <c r="G5" s="13">
        <f>Inputs!$C$22*Inputs!$C$9*Inputs!$C$25</f>
        <v/>
      </c>
      <c r="H5" s="13">
        <f>Inputs!$C$26</f>
        <v/>
      </c>
      <c r="I5" s="13">
        <f>E5+F5+G5+H5</f>
        <v/>
      </c>
      <c r="J5" s="13">
        <f>Inputs!$C$22*Inputs!$C$9</f>
        <v/>
      </c>
      <c r="K5" s="13">
        <f>MAX(0,Inputs!$C$9-J5)</f>
        <v/>
      </c>
      <c r="L5" s="13">
        <f>F5*Inputs!$C$32+G5*Inputs!$C$33+H5*Inputs!$C$29+MAX(0,I5-Inputs!$C$11)*Inputs!$C$34</f>
        <v/>
      </c>
      <c r="M5" s="10" t="inlineStr">
        <is>
          <t>Baseline; simplified additive expected-value calculation</t>
        </is>
      </c>
    </row>
    <row r="6">
      <c r="A6" s="10" t="inlineStr">
        <is>
          <t>E2</t>
        </is>
      </c>
      <c r="B6" s="10" t="inlineStr">
        <is>
          <t>Scenario 1</t>
        </is>
      </c>
      <c r="C6" s="10" t="inlineStr">
        <is>
          <t>Risk-based</t>
        </is>
      </c>
      <c r="D6" s="10" t="inlineStr">
        <is>
          <t>Risk-based</t>
        </is>
      </c>
      <c r="E6" s="13">
        <f>'Scenario_1'!E16</f>
        <v/>
      </c>
      <c r="F6" s="13">
        <f>Inputs!$C$20*Inputs!$C$9</f>
        <v/>
      </c>
      <c r="G6" s="13">
        <f>Inputs!$C$23*Inputs!$C$9*Inputs!$C$25</f>
        <v/>
      </c>
      <c r="H6" s="13">
        <f>Inputs!$C$28</f>
        <v/>
      </c>
      <c r="I6" s="13">
        <f>E6+F6+G6+H6</f>
        <v/>
      </c>
      <c r="J6" s="13">
        <f>Inputs!$C$23*Inputs!$C$9</f>
        <v/>
      </c>
      <c r="K6" s="13">
        <f>MAX(0,Inputs!$C$9-J6)</f>
        <v/>
      </c>
      <c r="L6" s="13">
        <f>F6*Inputs!$C$32+G6*Inputs!$C$33+H6*Inputs!$C$31+MAX(0,I6-Inputs!$C$11)*Inputs!$C$34</f>
        <v/>
      </c>
      <c r="M6" s="10" t="inlineStr">
        <is>
          <t>More inspection time; lower illustrative defect probability</t>
        </is>
      </c>
    </row>
    <row r="7">
      <c r="A7" s="10" t="inlineStr">
        <is>
          <t>E3</t>
        </is>
      </c>
      <c r="B7" s="10" t="inlineStr">
        <is>
          <t>Scenario 2</t>
        </is>
      </c>
      <c r="C7" s="10" t="inlineStr">
        <is>
          <t>Risk-based</t>
        </is>
      </c>
      <c r="D7" s="10" t="inlineStr">
        <is>
          <t>Preventive</t>
        </is>
      </c>
      <c r="E7" s="13">
        <f>'Scenario_2'!E16</f>
        <v/>
      </c>
      <c r="F7" s="13">
        <f>Inputs!$C$20*Inputs!$C$9</f>
        <v/>
      </c>
      <c r="G7" s="13">
        <f>Inputs!$C$23*Inputs!$C$9*Inputs!$C$25</f>
        <v/>
      </c>
      <c r="H7" s="13">
        <f>Inputs!$C$26</f>
        <v/>
      </c>
      <c r="I7" s="13">
        <f>E7+F7+G7+H7</f>
        <v/>
      </c>
      <c r="J7" s="13">
        <f>Inputs!$C$23*Inputs!$C$9</f>
        <v/>
      </c>
      <c r="K7" s="13">
        <f>MAX(0,Inputs!$C$9-J7)</f>
        <v/>
      </c>
      <c r="L7" s="13">
        <f>F7*Inputs!$C$32+G7*Inputs!$C$33+H7*Inputs!$C$29+MAX(0,I7-Inputs!$C$11)*Inputs!$C$34</f>
        <v/>
      </c>
      <c r="M7" s="10" t="inlineStr">
        <is>
          <t>Parallel assembly resource; simplified schedule approximation</t>
        </is>
      </c>
    </row>
    <row r="8">
      <c r="A8" s="10" t="inlineStr">
        <is>
          <t>E4</t>
        </is>
      </c>
      <c r="B8" s="10" t="inlineStr">
        <is>
          <t>Scenario 2</t>
        </is>
      </c>
      <c r="C8" s="10" t="inlineStr">
        <is>
          <t>Standard</t>
        </is>
      </c>
      <c r="D8" s="10" t="inlineStr">
        <is>
          <t>Reactive</t>
        </is>
      </c>
      <c r="E8" s="13">
        <f>'Scenario_2'!E16</f>
        <v/>
      </c>
      <c r="F8" s="13">
        <f>Inputs!$C$19*Inputs!$C$9</f>
        <v/>
      </c>
      <c r="G8" s="13">
        <f>Inputs!$C$22*Inputs!$C$9*Inputs!$C$25</f>
        <v/>
      </c>
      <c r="H8" s="13">
        <f>Inputs!$C$27</f>
        <v/>
      </c>
      <c r="I8" s="13">
        <f>E8+F8+G8+H8</f>
        <v/>
      </c>
      <c r="J8" s="13">
        <f>Inputs!$C$22*Inputs!$C$9</f>
        <v/>
      </c>
      <c r="K8" s="13">
        <f>MAX(0,Inputs!$C$9-J8)</f>
        <v/>
      </c>
      <c r="L8" s="13">
        <f>F8*Inputs!$C$32+G8*Inputs!$C$33+H8*Inputs!$C$30+MAX(0,I8-Inputs!$C$11)*Inputs!$C$34</f>
        <v/>
      </c>
      <c r="M8" s="10" t="inlineStr">
        <is>
          <t>Reactive maintenance; potentially higher downtime</t>
        </is>
      </c>
    </row>
    <row r="9">
      <c r="A9" s="10" t="inlineStr">
        <is>
          <t>E5</t>
        </is>
      </c>
      <c r="B9" s="10" t="inlineStr">
        <is>
          <t>Scenario 3</t>
        </is>
      </c>
      <c r="C9" s="10" t="inlineStr">
        <is>
          <t>Source + final</t>
        </is>
      </c>
      <c r="D9" s="10" t="inlineStr">
        <is>
          <t>Risk-based</t>
        </is>
      </c>
      <c r="E9" s="13">
        <f>'Scenario_3'!E19</f>
        <v/>
      </c>
      <c r="F9" s="13">
        <f>Inputs!$C$21*Inputs!$C$9+Inputs!$C$20*Inputs!$C$9</f>
        <v/>
      </c>
      <c r="G9" s="13">
        <f>Inputs!$C$24*Inputs!$C$9*Inputs!$C$25</f>
        <v/>
      </c>
      <c r="H9" s="13">
        <f>Inputs!$C$28</f>
        <v/>
      </c>
      <c r="I9" s="13">
        <f>E9+F9+G9+H9</f>
        <v/>
      </c>
      <c r="J9" s="13">
        <f>Inputs!$C$24*Inputs!$C$9</f>
        <v/>
      </c>
      <c r="K9" s="13">
        <f>MAX(0,Inputs!$C$9-J9)</f>
        <v/>
      </c>
      <c r="L9" s="13">
        <f>F9*Inputs!$C$32+G9*Inputs!$C$33+H9*Inputs!$C$31+MAX(0,I9-Inputs!$C$11)*Inputs!$C$34</f>
        <v/>
      </c>
      <c r="M9" s="10" t="inlineStr">
        <is>
          <t>Branch checks plus final inspection; timing is approximate</t>
        </is>
      </c>
    </row>
    <row r="10">
      <c r="A10" s="10" t="inlineStr">
        <is>
          <t>E6</t>
        </is>
      </c>
      <c r="B10" s="10" t="inlineStr">
        <is>
          <t>Scenario 3</t>
        </is>
      </c>
      <c r="C10" s="10" t="inlineStr">
        <is>
          <t>Standard</t>
        </is>
      </c>
      <c r="D10" s="10" t="inlineStr">
        <is>
          <t>Reactive</t>
        </is>
      </c>
      <c r="E10" s="13">
        <f>'Scenario_3'!E19</f>
        <v/>
      </c>
      <c r="F10" s="13">
        <f>Inputs!$C$19*Inputs!$C$9</f>
        <v/>
      </c>
      <c r="G10" s="13">
        <f>Inputs!$C$22*Inputs!$C$9*Inputs!$C$25</f>
        <v/>
      </c>
      <c r="H10" s="13">
        <f>Inputs!$C$27</f>
        <v/>
      </c>
      <c r="I10" s="13">
        <f>E10+F10+G10+H10</f>
        <v/>
      </c>
      <c r="J10" s="13">
        <f>Inputs!$C$22*Inputs!$C$9</f>
        <v/>
      </c>
      <c r="K10" s="13">
        <f>MAX(0,Inputs!$C$9-J10)</f>
        <v/>
      </c>
      <c r="L10" s="13">
        <f>F10*Inputs!$C$32+G10*Inputs!$C$33+H10*Inputs!$C$30+MAX(0,I10-Inputs!$C$11)*Inputs!$C$34</f>
        <v/>
      </c>
      <c r="M10" s="10" t="inlineStr">
        <is>
          <t>Standard inspection and reactive maintenance</t>
        </is>
      </c>
    </row>
  </sheetData>
  <autoFilter ref="A4:M10"/>
  <mergeCells count="2">
    <mergeCell ref="A3:M3"/>
    <mergeCell ref="A1:M1"/>
  </mergeCells>
  <conditionalFormatting sqref="I5:I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6" customWidth="1" min="5" max="5"/>
    <col width="22" customWidth="1" min="6" max="6"/>
    <col width="22" customWidth="1" min="7" max="7"/>
    <col width="20" customWidth="1" min="8" max="8"/>
    <col width="22" customWidth="1" min="9" max="9"/>
    <col width="35" customWidth="1" min="10" max="10"/>
  </cols>
  <sheetData>
    <row r="1" ht="28" customHeight="1">
      <c r="A1" s="1" t="inlineStr">
        <is>
          <t>KPI DASHBOARD | Compare the three production designs</t>
        </is>
      </c>
    </row>
    <row r="3">
      <c r="A3" s="8" t="inlineStr">
        <is>
          <t>Illustrative KPIs from base schedule; policy-experiment estimates are shown separately. Formula outputs update in Excel.</t>
        </is>
      </c>
    </row>
    <row r="4">
      <c r="A4" s="9" t="inlineStr">
        <is>
          <t>Scenario</t>
        </is>
      </c>
      <c r="B4" s="9" t="inlineStr">
        <is>
          <t>Batch completion Cmax (min)</t>
        </is>
      </c>
      <c r="C4" s="9" t="inlineStr">
        <is>
          <t>Throughput (units/hour)</t>
        </is>
      </c>
      <c r="D4" s="9" t="inlineStr">
        <is>
          <t>Avg. flow time (min/unit)</t>
        </is>
      </c>
      <c r="E4" s="9" t="inlineStr">
        <is>
          <t>Planned base processing (min)</t>
        </is>
      </c>
      <c r="F4" s="9" t="inlineStr">
        <is>
          <t>Expected downtime (min)</t>
        </is>
      </c>
      <c r="G4" s="9" t="inlineStr">
        <is>
          <t>Expected defect rate</t>
        </is>
      </c>
      <c r="H4" s="9" t="inlineStr">
        <is>
          <t>Expected good units</t>
        </is>
      </c>
      <c r="I4" s="9" t="inlineStr">
        <is>
          <t>Due-date delay (min)</t>
        </is>
      </c>
      <c r="J4" s="9" t="inlineStr">
        <is>
          <t>Interpretation</t>
        </is>
      </c>
    </row>
    <row r="5">
      <c r="A5" s="10" t="inlineStr">
        <is>
          <t>Scenario 1</t>
        </is>
      </c>
      <c r="B5" s="13">
        <f>'Scenario_1'!E16</f>
        <v/>
      </c>
      <c r="C5" s="13">
        <f>IF(B5=0,0,Inputs!$C$9*60/B5)</f>
        <v/>
      </c>
      <c r="D5" s="13">
        <f>B5/Inputs!$C$9</f>
        <v/>
      </c>
      <c r="E5" s="13">
        <f>SUM('Scenario_1'!C5:C16)</f>
        <v/>
      </c>
      <c r="F5" s="13">
        <f>Inputs!$C$26</f>
        <v/>
      </c>
      <c r="G5" s="13">
        <f>Inputs!$C$22</f>
        <v/>
      </c>
      <c r="H5" s="13">
        <f>Inputs!$C$9*(1-G5)</f>
        <v/>
      </c>
      <c r="I5" s="13">
        <f>MAX(0,B5-Inputs!$C$11)</f>
        <v/>
      </c>
      <c r="J5" s="10" t="inlineStr">
        <is>
          <t>Reference flow shop</t>
        </is>
      </c>
    </row>
    <row r="6">
      <c r="A6" s="10" t="inlineStr">
        <is>
          <t>Scenario 2</t>
        </is>
      </c>
      <c r="B6" s="13">
        <f>'Scenario_2'!E16</f>
        <v/>
      </c>
      <c r="C6" s="13">
        <f>IF(B6=0,0,Inputs!$C$9*60/B6)</f>
        <v/>
      </c>
      <c r="D6" s="13">
        <f>B6/Inputs!$C$9</f>
        <v/>
      </c>
      <c r="E6" s="13">
        <f>SUM('Scenario_2'!C5:C16)</f>
        <v/>
      </c>
      <c r="F6" s="13">
        <f>Inputs!$C$26</f>
        <v/>
      </c>
      <c r="G6" s="13">
        <f>Inputs!$C$23</f>
        <v/>
      </c>
      <c r="H6" s="13">
        <f>Inputs!$C$9*(1-G6)</f>
        <v/>
      </c>
      <c r="I6" s="13">
        <f>MAX(0,B6-Inputs!$C$11)</f>
        <v/>
      </c>
      <c r="J6" s="10" t="inlineStr">
        <is>
          <t>Parallel assembly resources</t>
        </is>
      </c>
    </row>
    <row r="7">
      <c r="A7" s="10" t="inlineStr">
        <is>
          <t>Scenario 3</t>
        </is>
      </c>
      <c r="B7" s="13">
        <f>'Scenario_3'!E19</f>
        <v/>
      </c>
      <c r="C7" s="13">
        <f>IF(B7=0,0,Inputs!$C$9*60/B7)</f>
        <v/>
      </c>
      <c r="D7" s="13">
        <f>B7/Inputs!$C$9</f>
        <v/>
      </c>
      <c r="E7" s="13">
        <f>SUM('Scenario_3'!C5:C19)</f>
        <v/>
      </c>
      <c r="F7" s="13">
        <f>Inputs!$C$28</f>
        <v/>
      </c>
      <c r="G7" s="13">
        <f>Inputs!$C$24</f>
        <v/>
      </c>
      <c r="H7" s="13">
        <f>Inputs!$C$9*(1-G7)</f>
        <v/>
      </c>
      <c r="I7" s="13">
        <f>MAX(0,B7-Inputs!$C$11)</f>
        <v/>
      </c>
      <c r="J7" s="10" t="inlineStr">
        <is>
          <t>Parallel branches + merge</t>
        </is>
      </c>
    </row>
  </sheetData>
  <mergeCells count="2">
    <mergeCell ref="A1:J1"/>
    <mergeCell ref="A3:J3"/>
  </mergeCells>
  <conditionalFormatting sqref="B5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5:G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D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48" customWidth="1" min="3" max="3"/>
    <col width="66" customWidth="1" min="4" max="4"/>
  </cols>
  <sheetData>
    <row r="1" ht="28" customHeight="1">
      <c r="A1" s="1" t="inlineStr">
        <is>
          <t>EQUATIONS | Scheduling, flow logic, and KPI definitions</t>
        </is>
      </c>
    </row>
    <row r="3">
      <c r="A3" s="9" t="inlineStr">
        <is>
          <t>Topic</t>
        </is>
      </c>
      <c r="B3" s="9" t="inlineStr">
        <is>
          <t>Equation / rule</t>
        </is>
      </c>
      <c r="C3" s="9" t="inlineStr">
        <is>
          <t>Symbols</t>
        </is>
      </c>
      <c r="D3" s="9" t="inlineStr">
        <is>
          <t>Use / limitation</t>
        </is>
      </c>
    </row>
    <row r="4">
      <c r="A4" s="10" t="inlineStr">
        <is>
          <t>Flow-shop start time</t>
        </is>
      </c>
      <c r="B4" s="10" t="inlineStr">
        <is>
          <t>S(i,m) = MAX(C(i-1,m), C(i,m-1))</t>
        </is>
      </c>
      <c r="C4" s="10" t="inlineStr">
        <is>
          <t>S: start; C: completion; i: unit; m: station</t>
        </is>
      </c>
      <c r="D4" s="10" t="inlineStr">
        <is>
          <t>Assumes fixed route and one unit processed per station at a time.</t>
        </is>
      </c>
    </row>
    <row r="5">
      <c r="A5" s="10" t="inlineStr">
        <is>
          <t>Operation completion</t>
        </is>
      </c>
      <c r="B5" s="10" t="inlineStr">
        <is>
          <t>C(i,m) = S(i,m) + p(i,m) + d(i,m) + q(i,m)</t>
        </is>
      </c>
      <c r="C5" s="10" t="inlineStr">
        <is>
          <t>p: base process; d: maintenance interruption; q: quality / rework allowance</t>
        </is>
      </c>
      <c r="D5" s="10" t="inlineStr">
        <is>
          <t>Prefer explicit event modelling where downtime and rework are stochastic.</t>
        </is>
      </c>
    </row>
    <row r="6">
      <c r="A6" s="10" t="inlineStr">
        <is>
          <t>Batch completion</t>
        </is>
      </c>
      <c r="B6" s="10" t="inlineStr">
        <is>
          <t>Cmax = MAX_i C(i,last operation)</t>
        </is>
      </c>
      <c r="C6" s="10" t="inlineStr">
        <is>
          <t>Cmax: final completion time</t>
        </is>
      </c>
      <c r="D6" s="10" t="inlineStr">
        <is>
          <t>Main makespan KPI.</t>
        </is>
      </c>
    </row>
    <row r="7">
      <c r="A7" s="10" t="inlineStr">
        <is>
          <t>Parallel-resource assignment</t>
        </is>
      </c>
      <c r="B7" s="10" t="inlineStr">
        <is>
          <t>SUM_r y(i,r) = 1; y(i,r) ∈ {0,1}</t>
        </is>
      </c>
      <c r="C7" s="10" t="inlineStr">
        <is>
          <t>y: assignment of unit i to resource r</t>
        </is>
      </c>
      <c r="D7" s="10" t="inlineStr">
        <is>
          <t>Add resource non-overlap constraints; assignment alone is insufficient.</t>
        </is>
      </c>
    </row>
    <row r="8">
      <c r="A8" s="10" t="inlineStr">
        <is>
          <t>Parallel-branch merge</t>
        </is>
      </c>
      <c r="B8" s="10" t="inlineStr">
        <is>
          <t>S(i,assembly) = MAX(C(i,A), C(i,B))</t>
        </is>
      </c>
      <c r="C8" s="10" t="inlineStr">
        <is>
          <t>C(i,A), C(i,B): branch completion times</t>
        </is>
      </c>
      <c r="D8" s="10" t="inlineStr">
        <is>
          <t>Final assembly waits until both required branches are ready.</t>
        </is>
      </c>
    </row>
    <row r="9">
      <c r="A9" s="10" t="inlineStr">
        <is>
          <t>Throughput</t>
        </is>
      </c>
      <c r="B9" s="10" t="inlineStr">
        <is>
          <t>Throughput = good units / elapsed time × 60</t>
        </is>
      </c>
      <c r="C9" s="10" t="inlineStr">
        <is>
          <t>Units/hour if time is in minutes</t>
        </is>
      </c>
      <c r="D9" s="10" t="inlineStr">
        <is>
          <t>Use actual good units, not planned units, for empirical KPI.</t>
        </is>
      </c>
    </row>
    <row r="10">
      <c r="A10" s="10" t="inlineStr">
        <is>
          <t>Defect rate</t>
        </is>
      </c>
      <c r="B10" s="10" t="inlineStr">
        <is>
          <t>Defect rate = defective units / total units inspected</t>
        </is>
      </c>
      <c r="C10" s="10" t="inlineStr">
        <is>
          <t>Defective units; inspected units</t>
        </is>
      </c>
      <c r="D10" s="10" t="inlineStr">
        <is>
          <t>Define whether units with rework count as defective or ultimately rejected.</t>
        </is>
      </c>
    </row>
    <row r="11">
      <c r="A11" s="10" t="inlineStr">
        <is>
          <t>Availability (simple)</t>
        </is>
      </c>
      <c r="B11" s="10" t="inlineStr">
        <is>
          <t>Availability = Operating time / (Operating time + Downtime)</t>
        </is>
      </c>
      <c r="C11" s="10" t="inlineStr">
        <is>
          <t>Operating time; downtime</t>
        </is>
      </c>
      <c r="D11" s="10" t="inlineStr">
        <is>
          <t>Define planned maintenance treatment consistently.</t>
        </is>
      </c>
    </row>
    <row r="12">
      <c r="A12" s="10" t="inlineStr">
        <is>
          <t>On-time delivery</t>
        </is>
      </c>
      <c r="B12" s="10" t="inlineStr">
        <is>
          <t>OTD = orders completed by due date / total completed orders</t>
        </is>
      </c>
      <c r="C12" s="10" t="inlineStr">
        <is>
          <t>Orders and due dates</t>
        </is>
      </c>
      <c r="D12" s="10" t="inlineStr">
        <is>
          <t>For a single batch, use a 0/1 outcome or lateness minutes.</t>
        </is>
      </c>
    </row>
    <row r="13">
      <c r="A13" s="10" t="inlineStr">
        <is>
          <t>Total cost</t>
        </is>
      </c>
      <c r="B13" s="10" t="inlineStr">
        <is>
          <t>C_total = C_production + C_quality + C_maintenance + C_delay</t>
        </is>
      </c>
      <c r="C13" s="10" t="inlineStr">
        <is>
          <t>Cost components must be measured in a common currency</t>
        </is>
      </c>
      <c r="D13" s="10" t="inlineStr">
        <is>
          <t>Do not add non-comparable scores without normalization.</t>
        </is>
      </c>
    </row>
    <row r="14">
      <c r="A14" s="10" t="inlineStr">
        <is>
          <t>Game-theoretic interaction</t>
        </is>
      </c>
      <c r="B14" s="10" t="inlineStr">
        <is>
          <t>U_k = f_k(system outcomes, local outcomes, strategy profile)</t>
        </is>
      </c>
      <c r="C14" s="10" t="inlineStr">
        <is>
          <t>k ∈ {P,Q,M}</t>
        </is>
      </c>
      <c r="D14" s="10" t="inlineStr">
        <is>
          <t>Nash equilibrium need not maximize system-wide performance.</t>
        </is>
      </c>
    </row>
    <row r="15">
      <c r="A15" s="10" t="inlineStr">
        <is>
          <t>Uncertainty scenario</t>
        </is>
      </c>
      <c r="B15" s="10" t="inlineStr">
        <is>
          <t>p(i,m,ω) = p(i,m) + Δp(i,m,ω)</t>
        </is>
      </c>
      <c r="C15" s="10" t="inlineStr">
        <is>
          <t>ω: uncertainty state</t>
        </is>
      </c>
      <c r="D15" s="10" t="inlineStr">
        <is>
          <t>Estimate distributions or scenario ranges from real data.</t>
        </is>
      </c>
    </row>
    <row r="16">
      <c r="A16" s="10" t="inlineStr">
        <is>
          <t>Digital-twin maturity</t>
        </is>
      </c>
      <c r="B16" s="10" t="inlineStr">
        <is>
          <t>Model → verified simulation → calibrated model → validated digital twin</t>
        </is>
      </c>
      <c r="C16" s="10" t="inlineStr">
        <is>
          <t>Data, model, calibration and validation evidence</t>
        </is>
      </c>
      <c r="D16" s="10" t="inlineStr">
        <is>
          <t>Avoid claiming a validated digital twin before integration and validation.</t>
        </is>
      </c>
    </row>
  </sheetData>
  <autoFilter ref="A3:D16"/>
  <mergeCells count="1">
    <mergeCell ref="A1:D1"/>
  </mergeCells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F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6" customWidth="1" min="4" max="4"/>
    <col width="18" customWidth="1" min="5" max="5"/>
    <col width="16" customWidth="1" min="6" max="6"/>
  </cols>
  <sheetData>
    <row r="1" ht="28" customHeight="1">
      <c r="A1" s="1" t="inlineStr">
        <is>
          <t>GANTT DATA | Extend this table for additional units and operations</t>
        </is>
      </c>
    </row>
    <row r="3">
      <c r="A3" s="9" t="inlineStr">
        <is>
          <t>Scenario</t>
        </is>
      </c>
      <c r="B3" s="9" t="inlineStr">
        <is>
          <t>Unit</t>
        </is>
      </c>
      <c r="C3" s="9" t="inlineStr">
        <is>
          <t>Operation</t>
        </is>
      </c>
      <c r="D3" s="9" t="inlineStr">
        <is>
          <t>Start (min)</t>
        </is>
      </c>
      <c r="E3" s="9" t="inlineStr">
        <is>
          <t>Duration (min)</t>
        </is>
      </c>
      <c r="F3" s="9" t="inlineStr">
        <is>
          <t>End (min)</t>
        </is>
      </c>
    </row>
    <row r="4">
      <c r="A4" s="10" t="inlineStr">
        <is>
          <t>Scenario 1</t>
        </is>
      </c>
      <c r="B4" s="10" t="inlineStr">
        <is>
          <t>U1</t>
        </is>
      </c>
      <c r="C4" s="10" t="inlineStr">
        <is>
          <t>M1 – Preparation</t>
        </is>
      </c>
      <c r="D4" s="10">
        <f>'Scenario_1'!D5</f>
        <v/>
      </c>
      <c r="E4" s="10">
        <f>'Scenario_1'!H5</f>
        <v/>
      </c>
      <c r="F4" s="10">
        <f>'Scenario_1'!E5</f>
        <v/>
      </c>
    </row>
    <row r="5">
      <c r="A5" s="10" t="inlineStr">
        <is>
          <t>Scenario 1</t>
        </is>
      </c>
      <c r="B5" s="10" t="inlineStr">
        <is>
          <t>U1</t>
        </is>
      </c>
      <c r="C5" s="10" t="inlineStr">
        <is>
          <t>M2 – Assembly</t>
        </is>
      </c>
      <c r="D5" s="10">
        <f>'Scenario_1'!D6</f>
        <v/>
      </c>
      <c r="E5" s="10">
        <f>'Scenario_1'!H6</f>
        <v/>
      </c>
      <c r="F5" s="10">
        <f>'Scenario_1'!E6</f>
        <v/>
      </c>
    </row>
    <row r="6">
      <c r="A6" s="10" t="inlineStr">
        <is>
          <t>Scenario 1</t>
        </is>
      </c>
      <c r="B6" s="10" t="inlineStr">
        <is>
          <t>U1</t>
        </is>
      </c>
      <c r="C6" s="10" t="inlineStr">
        <is>
          <t>M3 – Inspection/test</t>
        </is>
      </c>
      <c r="D6" s="10">
        <f>'Scenario_1'!D7</f>
        <v/>
      </c>
      <c r="E6" s="10">
        <f>'Scenario_1'!H7</f>
        <v/>
      </c>
      <c r="F6" s="10">
        <f>'Scenario_1'!E7</f>
        <v/>
      </c>
    </row>
    <row r="7">
      <c r="A7" s="10" t="inlineStr">
        <is>
          <t>Scenario 1</t>
        </is>
      </c>
      <c r="B7" s="10" t="inlineStr">
        <is>
          <t>U1</t>
        </is>
      </c>
      <c r="C7" s="10" t="inlineStr">
        <is>
          <t>M4 – Finishing/packing</t>
        </is>
      </c>
      <c r="D7" s="10">
        <f>'Scenario_1'!D8</f>
        <v/>
      </c>
      <c r="E7" s="10">
        <f>'Scenario_1'!H8</f>
        <v/>
      </c>
      <c r="F7" s="10">
        <f>'Scenario_1'!E8</f>
        <v/>
      </c>
    </row>
    <row r="8">
      <c r="A8" s="10" t="inlineStr">
        <is>
          <t>Scenario 1</t>
        </is>
      </c>
      <c r="B8" s="10" t="inlineStr">
        <is>
          <t>U2</t>
        </is>
      </c>
      <c r="C8" s="10" t="inlineStr">
        <is>
          <t>M1 – Preparation</t>
        </is>
      </c>
      <c r="D8" s="10">
        <f>'Scenario_1'!D9</f>
        <v/>
      </c>
      <c r="E8" s="10">
        <f>'Scenario_1'!H9</f>
        <v/>
      </c>
      <c r="F8" s="10">
        <f>'Scenario_1'!E9</f>
        <v/>
      </c>
    </row>
    <row r="9">
      <c r="A9" s="10" t="inlineStr">
        <is>
          <t>Scenario 1</t>
        </is>
      </c>
      <c r="B9" s="10" t="inlineStr">
        <is>
          <t>U2</t>
        </is>
      </c>
      <c r="C9" s="10" t="inlineStr">
        <is>
          <t>M2 – Assembly</t>
        </is>
      </c>
      <c r="D9" s="10">
        <f>'Scenario_1'!D10</f>
        <v/>
      </c>
      <c r="E9" s="10">
        <f>'Scenario_1'!H10</f>
        <v/>
      </c>
      <c r="F9" s="10">
        <f>'Scenario_1'!E10</f>
        <v/>
      </c>
    </row>
    <row r="10">
      <c r="A10" s="10" t="inlineStr">
        <is>
          <t>Scenario 1</t>
        </is>
      </c>
      <c r="B10" s="10" t="inlineStr">
        <is>
          <t>U2</t>
        </is>
      </c>
      <c r="C10" s="10" t="inlineStr">
        <is>
          <t>M3 – Inspection/test</t>
        </is>
      </c>
      <c r="D10" s="10">
        <f>'Scenario_1'!D11</f>
        <v/>
      </c>
      <c r="E10" s="10">
        <f>'Scenario_1'!H11</f>
        <v/>
      </c>
      <c r="F10" s="10">
        <f>'Scenario_1'!E11</f>
        <v/>
      </c>
    </row>
    <row r="11">
      <c r="A11" s="10" t="inlineStr">
        <is>
          <t>Scenario 1</t>
        </is>
      </c>
      <c r="B11" s="10" t="inlineStr">
        <is>
          <t>U2</t>
        </is>
      </c>
      <c r="C11" s="10" t="inlineStr">
        <is>
          <t>M4 – Finishing/packing</t>
        </is>
      </c>
      <c r="D11" s="10">
        <f>'Scenario_1'!D12</f>
        <v/>
      </c>
      <c r="E11" s="10">
        <f>'Scenario_1'!H12</f>
        <v/>
      </c>
      <c r="F11" s="10">
        <f>'Scenario_1'!E12</f>
        <v/>
      </c>
    </row>
    <row r="12">
      <c r="A12" s="10" t="inlineStr">
        <is>
          <t>Scenario 1</t>
        </is>
      </c>
      <c r="B12" s="10" t="inlineStr">
        <is>
          <t>U3</t>
        </is>
      </c>
      <c r="C12" s="10" t="inlineStr">
        <is>
          <t>M1 – Preparation</t>
        </is>
      </c>
      <c r="D12" s="10">
        <f>'Scenario_1'!D13</f>
        <v/>
      </c>
      <c r="E12" s="10">
        <f>'Scenario_1'!H13</f>
        <v/>
      </c>
      <c r="F12" s="10">
        <f>'Scenario_1'!E13</f>
        <v/>
      </c>
    </row>
    <row r="13">
      <c r="A13" s="10" t="inlineStr">
        <is>
          <t>Scenario 1</t>
        </is>
      </c>
      <c r="B13" s="10" t="inlineStr">
        <is>
          <t>U3</t>
        </is>
      </c>
      <c r="C13" s="10" t="inlineStr">
        <is>
          <t>M2 – Assembly</t>
        </is>
      </c>
      <c r="D13" s="10">
        <f>'Scenario_1'!D14</f>
        <v/>
      </c>
      <c r="E13" s="10">
        <f>'Scenario_1'!H14</f>
        <v/>
      </c>
      <c r="F13" s="10">
        <f>'Scenario_1'!E14</f>
        <v/>
      </c>
    </row>
    <row r="14">
      <c r="A14" s="10" t="inlineStr">
        <is>
          <t>Scenario 1</t>
        </is>
      </c>
      <c r="B14" s="10" t="inlineStr">
        <is>
          <t>U3</t>
        </is>
      </c>
      <c r="C14" s="10" t="inlineStr">
        <is>
          <t>M3 – Inspection/test</t>
        </is>
      </c>
      <c r="D14" s="10">
        <f>'Scenario_1'!D15</f>
        <v/>
      </c>
      <c r="E14" s="10">
        <f>'Scenario_1'!H15</f>
        <v/>
      </c>
      <c r="F14" s="10">
        <f>'Scenario_1'!E15</f>
        <v/>
      </c>
    </row>
    <row r="15">
      <c r="A15" s="10" t="inlineStr">
        <is>
          <t>Scenario 1</t>
        </is>
      </c>
      <c r="B15" s="10" t="inlineStr">
        <is>
          <t>U3</t>
        </is>
      </c>
      <c r="C15" s="10" t="inlineStr">
        <is>
          <t>M4 – Finishing/packing</t>
        </is>
      </c>
      <c r="D15" s="10">
        <f>'Scenario_1'!D16</f>
        <v/>
      </c>
      <c r="E15" s="10">
        <f>'Scenario_1'!H16</f>
        <v/>
      </c>
      <c r="F15" s="10">
        <f>'Scenario_1'!E16</f>
        <v/>
      </c>
    </row>
    <row r="16">
      <c r="A16" s="10" t="inlineStr">
        <is>
          <t>Scenario 2</t>
        </is>
      </c>
      <c r="B16" s="10" t="inlineStr">
        <is>
          <t>U1</t>
        </is>
      </c>
      <c r="C16" s="10" t="inlineStr">
        <is>
          <t>M1 – Preparation</t>
        </is>
      </c>
      <c r="D16" s="10">
        <f>'Scenario_2'!D5</f>
        <v/>
      </c>
      <c r="E16" s="10">
        <f>'Scenario_2'!H5</f>
        <v/>
      </c>
      <c r="F16" s="10">
        <f>'Scenario_2'!E5</f>
        <v/>
      </c>
    </row>
    <row r="17">
      <c r="A17" s="10" t="inlineStr">
        <is>
          <t>Scenario 2</t>
        </is>
      </c>
      <c r="B17" s="10" t="inlineStr">
        <is>
          <t>U1</t>
        </is>
      </c>
      <c r="C17" s="10" t="inlineStr">
        <is>
          <t>M2 – M2-A</t>
        </is>
      </c>
      <c r="D17" s="10">
        <f>'Scenario_2'!D6</f>
        <v/>
      </c>
      <c r="E17" s="10">
        <f>'Scenario_2'!H6</f>
        <v/>
      </c>
      <c r="F17" s="10">
        <f>'Scenario_2'!E6</f>
        <v/>
      </c>
    </row>
    <row r="18">
      <c r="A18" s="10" t="inlineStr">
        <is>
          <t>Scenario 2</t>
        </is>
      </c>
      <c r="B18" s="10" t="inlineStr">
        <is>
          <t>U1</t>
        </is>
      </c>
      <c r="C18" s="10" t="inlineStr">
        <is>
          <t>M3 – Inspection/test</t>
        </is>
      </c>
      <c r="D18" s="10">
        <f>'Scenario_2'!D7</f>
        <v/>
      </c>
      <c r="E18" s="10">
        <f>'Scenario_2'!H7</f>
        <v/>
      </c>
      <c r="F18" s="10">
        <f>'Scenario_2'!E7</f>
        <v/>
      </c>
    </row>
    <row r="19">
      <c r="A19" s="10" t="inlineStr">
        <is>
          <t>Scenario 2</t>
        </is>
      </c>
      <c r="B19" s="10" t="inlineStr">
        <is>
          <t>U1</t>
        </is>
      </c>
      <c r="C19" s="10" t="inlineStr">
        <is>
          <t>M4 – Finishing/packing</t>
        </is>
      </c>
      <c r="D19" s="10">
        <f>'Scenario_2'!D8</f>
        <v/>
      </c>
      <c r="E19" s="10">
        <f>'Scenario_2'!H8</f>
        <v/>
      </c>
      <c r="F19" s="10">
        <f>'Scenario_2'!E8</f>
        <v/>
      </c>
    </row>
    <row r="20">
      <c r="A20" s="10" t="inlineStr">
        <is>
          <t>Scenario 2</t>
        </is>
      </c>
      <c r="B20" s="10" t="inlineStr">
        <is>
          <t>U2</t>
        </is>
      </c>
      <c r="C20" s="10" t="inlineStr">
        <is>
          <t>M1 – Preparation</t>
        </is>
      </c>
      <c r="D20" s="10">
        <f>'Scenario_2'!D9</f>
        <v/>
      </c>
      <c r="E20" s="10">
        <f>'Scenario_2'!H9</f>
        <v/>
      </c>
      <c r="F20" s="10">
        <f>'Scenario_2'!E9</f>
        <v/>
      </c>
    </row>
    <row r="21">
      <c r="A21" s="10" t="inlineStr">
        <is>
          <t>Scenario 2</t>
        </is>
      </c>
      <c r="B21" s="10" t="inlineStr">
        <is>
          <t>U2</t>
        </is>
      </c>
      <c r="C21" s="10" t="inlineStr">
        <is>
          <t>M2 – M2-B</t>
        </is>
      </c>
      <c r="D21" s="10">
        <f>'Scenario_2'!D10</f>
        <v/>
      </c>
      <c r="E21" s="10">
        <f>'Scenario_2'!H10</f>
        <v/>
      </c>
      <c r="F21" s="10">
        <f>'Scenario_2'!E10</f>
        <v/>
      </c>
    </row>
    <row r="22">
      <c r="A22" s="10" t="inlineStr">
        <is>
          <t>Scenario 2</t>
        </is>
      </c>
      <c r="B22" s="10" t="inlineStr">
        <is>
          <t>U2</t>
        </is>
      </c>
      <c r="C22" s="10" t="inlineStr">
        <is>
          <t>M3 – Inspection/test</t>
        </is>
      </c>
      <c r="D22" s="10">
        <f>'Scenario_2'!D11</f>
        <v/>
      </c>
      <c r="E22" s="10">
        <f>'Scenario_2'!H11</f>
        <v/>
      </c>
      <c r="F22" s="10">
        <f>'Scenario_2'!E11</f>
        <v/>
      </c>
    </row>
    <row r="23">
      <c r="A23" s="10" t="inlineStr">
        <is>
          <t>Scenario 2</t>
        </is>
      </c>
      <c r="B23" s="10" t="inlineStr">
        <is>
          <t>U2</t>
        </is>
      </c>
      <c r="C23" s="10" t="inlineStr">
        <is>
          <t>M4 – Finishing/packing</t>
        </is>
      </c>
      <c r="D23" s="10">
        <f>'Scenario_2'!D12</f>
        <v/>
      </c>
      <c r="E23" s="10">
        <f>'Scenario_2'!H12</f>
        <v/>
      </c>
      <c r="F23" s="10">
        <f>'Scenario_2'!E12</f>
        <v/>
      </c>
    </row>
    <row r="24">
      <c r="A24" s="10" t="inlineStr">
        <is>
          <t>Scenario 2</t>
        </is>
      </c>
      <c r="B24" s="10" t="inlineStr">
        <is>
          <t>U3</t>
        </is>
      </c>
      <c r="C24" s="10" t="inlineStr">
        <is>
          <t>M1 – Preparation</t>
        </is>
      </c>
      <c r="D24" s="10">
        <f>'Scenario_2'!D13</f>
        <v/>
      </c>
      <c r="E24" s="10">
        <f>'Scenario_2'!H13</f>
        <v/>
      </c>
      <c r="F24" s="10">
        <f>'Scenario_2'!E13</f>
        <v/>
      </c>
    </row>
    <row r="25">
      <c r="A25" s="10" t="inlineStr">
        <is>
          <t>Scenario 2</t>
        </is>
      </c>
      <c r="B25" s="10" t="inlineStr">
        <is>
          <t>U3</t>
        </is>
      </c>
      <c r="C25" s="10" t="inlineStr">
        <is>
          <t>M2 – M2-A</t>
        </is>
      </c>
      <c r="D25" s="10">
        <f>'Scenario_2'!D14</f>
        <v/>
      </c>
      <c r="E25" s="10">
        <f>'Scenario_2'!H14</f>
        <v/>
      </c>
      <c r="F25" s="10">
        <f>'Scenario_2'!E14</f>
        <v/>
      </c>
    </row>
    <row r="26">
      <c r="A26" s="10" t="inlineStr">
        <is>
          <t>Scenario 2</t>
        </is>
      </c>
      <c r="B26" s="10" t="inlineStr">
        <is>
          <t>U3</t>
        </is>
      </c>
      <c r="C26" s="10" t="inlineStr">
        <is>
          <t>M3 – Inspection/test</t>
        </is>
      </c>
      <c r="D26" s="10">
        <f>'Scenario_2'!D15</f>
        <v/>
      </c>
      <c r="E26" s="10">
        <f>'Scenario_2'!H15</f>
        <v/>
      </c>
      <c r="F26" s="10">
        <f>'Scenario_2'!E15</f>
        <v/>
      </c>
    </row>
    <row r="27">
      <c r="A27" s="10" t="inlineStr">
        <is>
          <t>Scenario 2</t>
        </is>
      </c>
      <c r="B27" s="10" t="inlineStr">
        <is>
          <t>U3</t>
        </is>
      </c>
      <c r="C27" s="10" t="inlineStr">
        <is>
          <t>M4 – Finishing/packing</t>
        </is>
      </c>
      <c r="D27" s="10">
        <f>'Scenario_2'!D16</f>
        <v/>
      </c>
      <c r="E27" s="10">
        <f>'Scenario_2'!H16</f>
        <v/>
      </c>
      <c r="F27" s="10">
        <f>'Scenario_2'!E16</f>
        <v/>
      </c>
    </row>
    <row r="28">
      <c r="A28" s="10" t="inlineStr">
        <is>
          <t>Scenario 3</t>
        </is>
      </c>
      <c r="B28" s="10" t="inlineStr">
        <is>
          <t>U1</t>
        </is>
      </c>
      <c r="C28" s="10" t="inlineStr">
        <is>
          <t>Branch A – Structure</t>
        </is>
      </c>
      <c r="D28" s="10">
        <f>'Scenario_3'!D5</f>
        <v/>
      </c>
      <c r="E28" s="10">
        <f>'Scenario_3'!H5</f>
        <v/>
      </c>
      <c r="F28" s="10">
        <f>'Scenario_3'!E5</f>
        <v/>
      </c>
    </row>
    <row r="29">
      <c r="A29" s="10" t="inlineStr">
        <is>
          <t>Scenario 3</t>
        </is>
      </c>
      <c r="B29" s="10" t="inlineStr">
        <is>
          <t>U1</t>
        </is>
      </c>
      <c r="C29" s="10" t="inlineStr">
        <is>
          <t>Branch B – Components</t>
        </is>
      </c>
      <c r="D29" s="10">
        <f>'Scenario_3'!D6</f>
        <v/>
      </c>
      <c r="E29" s="10">
        <f>'Scenario_3'!H6</f>
        <v/>
      </c>
      <c r="F29" s="10">
        <f>'Scenario_3'!E6</f>
        <v/>
      </c>
    </row>
    <row r="30">
      <c r="A30" s="10" t="inlineStr">
        <is>
          <t>Scenario 3</t>
        </is>
      </c>
      <c r="B30" s="10" t="inlineStr">
        <is>
          <t>U1</t>
        </is>
      </c>
      <c r="C30" s="10" t="inlineStr">
        <is>
          <t>Final assembly</t>
        </is>
      </c>
      <c r="D30" s="10">
        <f>'Scenario_3'!D7</f>
        <v/>
      </c>
      <c r="E30" s="10">
        <f>'Scenario_3'!H7</f>
        <v/>
      </c>
      <c r="F30" s="10">
        <f>'Scenario_3'!E7</f>
        <v/>
      </c>
    </row>
    <row r="31">
      <c r="A31" s="10" t="inlineStr">
        <is>
          <t>Scenario 3</t>
        </is>
      </c>
      <c r="B31" s="10" t="inlineStr">
        <is>
          <t>U1</t>
        </is>
      </c>
      <c r="C31" s="10" t="inlineStr">
        <is>
          <t>Final inspection</t>
        </is>
      </c>
      <c r="D31" s="10">
        <f>'Scenario_3'!D8</f>
        <v/>
      </c>
      <c r="E31" s="10">
        <f>'Scenario_3'!H8</f>
        <v/>
      </c>
      <c r="F31" s="10">
        <f>'Scenario_3'!E8</f>
        <v/>
      </c>
    </row>
    <row r="32">
      <c r="A32" s="10" t="inlineStr">
        <is>
          <t>Scenario 3</t>
        </is>
      </c>
      <c r="B32" s="10" t="inlineStr">
        <is>
          <t>U1</t>
        </is>
      </c>
      <c r="C32" s="10" t="inlineStr">
        <is>
          <t>Packing</t>
        </is>
      </c>
      <c r="D32" s="10">
        <f>'Scenario_3'!D9</f>
        <v/>
      </c>
      <c r="E32" s="10">
        <f>'Scenario_3'!H9</f>
        <v/>
      </c>
      <c r="F32" s="10">
        <f>'Scenario_3'!E9</f>
        <v/>
      </c>
    </row>
    <row r="33">
      <c r="A33" s="10" t="inlineStr">
        <is>
          <t>Scenario 3</t>
        </is>
      </c>
      <c r="B33" s="10" t="inlineStr">
        <is>
          <t>U2</t>
        </is>
      </c>
      <c r="C33" s="10" t="inlineStr">
        <is>
          <t>Branch A – Structure</t>
        </is>
      </c>
      <c r="D33" s="10">
        <f>'Scenario_3'!D10</f>
        <v/>
      </c>
      <c r="E33" s="10">
        <f>'Scenario_3'!H10</f>
        <v/>
      </c>
      <c r="F33" s="10">
        <f>'Scenario_3'!E10</f>
        <v/>
      </c>
    </row>
    <row r="34">
      <c r="A34" s="10" t="inlineStr">
        <is>
          <t>Scenario 3</t>
        </is>
      </c>
      <c r="B34" s="10" t="inlineStr">
        <is>
          <t>U2</t>
        </is>
      </c>
      <c r="C34" s="10" t="inlineStr">
        <is>
          <t>Branch B – Components</t>
        </is>
      </c>
      <c r="D34" s="10">
        <f>'Scenario_3'!D11</f>
        <v/>
      </c>
      <c r="E34" s="10">
        <f>'Scenario_3'!H11</f>
        <v/>
      </c>
      <c r="F34" s="10">
        <f>'Scenario_3'!E11</f>
        <v/>
      </c>
    </row>
    <row r="35">
      <c r="A35" s="10" t="inlineStr">
        <is>
          <t>Scenario 3</t>
        </is>
      </c>
      <c r="B35" s="10" t="inlineStr">
        <is>
          <t>U2</t>
        </is>
      </c>
      <c r="C35" s="10" t="inlineStr">
        <is>
          <t>Final assembly</t>
        </is>
      </c>
      <c r="D35" s="10">
        <f>'Scenario_3'!D12</f>
        <v/>
      </c>
      <c r="E35" s="10">
        <f>'Scenario_3'!H12</f>
        <v/>
      </c>
      <c r="F35" s="10">
        <f>'Scenario_3'!E12</f>
        <v/>
      </c>
    </row>
    <row r="36">
      <c r="A36" s="10" t="inlineStr">
        <is>
          <t>Scenario 3</t>
        </is>
      </c>
      <c r="B36" s="10" t="inlineStr">
        <is>
          <t>U2</t>
        </is>
      </c>
      <c r="C36" s="10" t="inlineStr">
        <is>
          <t>Final inspection</t>
        </is>
      </c>
      <c r="D36" s="10">
        <f>'Scenario_3'!D13</f>
        <v/>
      </c>
      <c r="E36" s="10">
        <f>'Scenario_3'!H13</f>
        <v/>
      </c>
      <c r="F36" s="10">
        <f>'Scenario_3'!E13</f>
        <v/>
      </c>
    </row>
    <row r="37">
      <c r="A37" s="10" t="inlineStr">
        <is>
          <t>Scenario 3</t>
        </is>
      </c>
      <c r="B37" s="10" t="inlineStr">
        <is>
          <t>U2</t>
        </is>
      </c>
      <c r="C37" s="10" t="inlineStr">
        <is>
          <t>Packing</t>
        </is>
      </c>
      <c r="D37" s="10">
        <f>'Scenario_3'!D14</f>
        <v/>
      </c>
      <c r="E37" s="10">
        <f>'Scenario_3'!H14</f>
        <v/>
      </c>
      <c r="F37" s="10">
        <f>'Scenario_3'!E14</f>
        <v/>
      </c>
    </row>
    <row r="38">
      <c r="A38" s="10" t="inlineStr">
        <is>
          <t>Scenario 3</t>
        </is>
      </c>
      <c r="B38" s="10" t="inlineStr">
        <is>
          <t>U3</t>
        </is>
      </c>
      <c r="C38" s="10" t="inlineStr">
        <is>
          <t>Branch A – Structure</t>
        </is>
      </c>
      <c r="D38" s="10">
        <f>'Scenario_3'!D15</f>
        <v/>
      </c>
      <c r="E38" s="10">
        <f>'Scenario_3'!H15</f>
        <v/>
      </c>
      <c r="F38" s="10">
        <f>'Scenario_3'!E15</f>
        <v/>
      </c>
    </row>
    <row r="39">
      <c r="A39" s="10" t="inlineStr">
        <is>
          <t>Scenario 3</t>
        </is>
      </c>
      <c r="B39" s="10" t="inlineStr">
        <is>
          <t>U3</t>
        </is>
      </c>
      <c r="C39" s="10" t="inlineStr">
        <is>
          <t>Branch B – Components</t>
        </is>
      </c>
      <c r="D39" s="10">
        <f>'Scenario_3'!D16</f>
        <v/>
      </c>
      <c r="E39" s="10">
        <f>'Scenario_3'!H16</f>
        <v/>
      </c>
      <c r="F39" s="10">
        <f>'Scenario_3'!E16</f>
        <v/>
      </c>
    </row>
    <row r="40">
      <c r="A40" s="10" t="inlineStr">
        <is>
          <t>Scenario 3</t>
        </is>
      </c>
      <c r="B40" s="10" t="inlineStr">
        <is>
          <t>U3</t>
        </is>
      </c>
      <c r="C40" s="10" t="inlineStr">
        <is>
          <t>Final assembly</t>
        </is>
      </c>
      <c r="D40" s="10">
        <f>'Scenario_3'!D17</f>
        <v/>
      </c>
      <c r="E40" s="10">
        <f>'Scenario_3'!H17</f>
        <v/>
      </c>
      <c r="F40" s="10">
        <f>'Scenario_3'!E17</f>
        <v/>
      </c>
    </row>
    <row r="41">
      <c r="A41" s="10" t="inlineStr">
        <is>
          <t>Scenario 3</t>
        </is>
      </c>
      <c r="B41" s="10" t="inlineStr">
        <is>
          <t>U3</t>
        </is>
      </c>
      <c r="C41" s="10" t="inlineStr">
        <is>
          <t>Final inspection</t>
        </is>
      </c>
      <c r="D41" s="10">
        <f>'Scenario_3'!D18</f>
        <v/>
      </c>
      <c r="E41" s="10">
        <f>'Scenario_3'!H18</f>
        <v/>
      </c>
      <c r="F41" s="10">
        <f>'Scenario_3'!E18</f>
        <v/>
      </c>
    </row>
    <row r="42">
      <c r="A42" s="10" t="inlineStr">
        <is>
          <t>Scenario 3</t>
        </is>
      </c>
      <c r="B42" s="10" t="inlineStr">
        <is>
          <t>U3</t>
        </is>
      </c>
      <c r="C42" s="10" t="inlineStr">
        <is>
          <t>Packing</t>
        </is>
      </c>
      <c r="D42" s="10">
        <f>'Scenario_3'!D19</f>
        <v/>
      </c>
      <c r="E42" s="10">
        <f>'Scenario_3'!H19</f>
        <v/>
      </c>
      <c r="F42" s="10">
        <f>'Scenario_3'!E19</f>
        <v/>
      </c>
    </row>
  </sheetData>
  <autoFilter ref="A3:F4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2026-10-24T15:01:26Z</dcterms:created>
  <dcterms:modified xmlns:dcterms="http://purl.org/dc/terms/" xmlns:xsi="http://www.w3.org/2001/XMLSchema-instance" xsi:type="dcterms:W3CDTF">2026-10-24T15:17:09Z</dcterms:modified>
</cp:coreProperties>
</file>